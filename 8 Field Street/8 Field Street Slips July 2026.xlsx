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lmstone-my.sharepoint.com/personal/marnuss_holmstone_co_za/Documents/Desktop/Claude - Folder/Billing - App/city-deep-billing-app/8 Field Street/"/>
    </mc:Choice>
  </mc:AlternateContent>
  <xr:revisionPtr revIDLastSave="1099" documentId="8_{6105E25A-3C4D-4FF5-B477-AC7ECD30DFC1}" xr6:coauthVersionLast="47" xr6:coauthVersionMax="47" xr10:uidLastSave="{43AB0727-F0F4-4899-B866-B63F16B15DCC}"/>
  <bookViews>
    <workbookView xWindow="-90" yWindow="0" windowWidth="9780" windowHeight="10170" activeTab="1" xr2:uid="{B75D9B19-B2FB-40C7-9991-27E20819F250}"/>
  </bookViews>
  <sheets>
    <sheet name="Billing - 8 Field Street" sheetId="1" r:id="rId1"/>
    <sheet name="Raw Billing" sheetId="2" r:id="rId2"/>
    <sheet name="Tariffs" sheetId="3" r:id="rId3"/>
    <sheet name="Comparison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4" i="2" l="1"/>
  <c r="O106" i="2"/>
  <c r="O108" i="2"/>
  <c r="O110" i="2"/>
  <c r="J51" i="4"/>
  <c r="J52" i="4"/>
  <c r="J53" i="4"/>
  <c r="J54" i="4"/>
  <c r="J55" i="4"/>
  <c r="J56" i="4"/>
  <c r="J57" i="4"/>
  <c r="J58" i="4"/>
  <c r="J59" i="4"/>
  <c r="J60" i="4"/>
  <c r="J61" i="4"/>
  <c r="J50" i="4"/>
  <c r="J62" i="4"/>
  <c r="G62" i="4"/>
  <c r="G51" i="4"/>
  <c r="G52" i="4"/>
  <c r="G53" i="4"/>
  <c r="G54" i="4"/>
  <c r="G55" i="4"/>
  <c r="G56" i="4"/>
  <c r="G57" i="4"/>
  <c r="G58" i="4"/>
  <c r="G59" i="4"/>
  <c r="G60" i="4"/>
  <c r="G61" i="4"/>
  <c r="G50" i="4"/>
  <c r="H50" i="4" s="1"/>
  <c r="D62" i="4"/>
  <c r="D51" i="4"/>
  <c r="D52" i="4"/>
  <c r="D53" i="4"/>
  <c r="D54" i="4"/>
  <c r="D55" i="4"/>
  <c r="D56" i="4"/>
  <c r="D57" i="4"/>
  <c r="D58" i="4"/>
  <c r="D59" i="4"/>
  <c r="D60" i="4"/>
  <c r="D61" i="4"/>
  <c r="D50" i="4"/>
  <c r="E50" i="4" s="1"/>
  <c r="D18" i="1"/>
  <c r="R39" i="4"/>
  <c r="O39" i="4"/>
  <c r="J39" i="4"/>
  <c r="E39" i="4"/>
  <c r="W39" i="4"/>
  <c r="W36" i="4"/>
  <c r="W37" i="4"/>
  <c r="W35" i="4"/>
  <c r="W34" i="4"/>
  <c r="W29" i="4"/>
  <c r="W30" i="4"/>
  <c r="W31" i="4"/>
  <c r="W32" i="4"/>
  <c r="W33" i="4"/>
  <c r="W28" i="4"/>
  <c r="U39" i="4"/>
  <c r="V39" i="4" s="1"/>
  <c r="S39" i="4"/>
  <c r="S38" i="4"/>
  <c r="U36" i="4"/>
  <c r="U37" i="4"/>
  <c r="U35" i="4"/>
  <c r="S36" i="4"/>
  <c r="S37" i="4"/>
  <c r="S35" i="4"/>
  <c r="U34" i="4"/>
  <c r="S34" i="4"/>
  <c r="R37" i="4"/>
  <c r="R36" i="4"/>
  <c r="R35" i="4"/>
  <c r="R34" i="4"/>
  <c r="R33" i="4"/>
  <c r="R32" i="4"/>
  <c r="R31" i="4"/>
  <c r="R30" i="4"/>
  <c r="R29" i="4"/>
  <c r="R28" i="4"/>
  <c r="U29" i="4"/>
  <c r="U30" i="4"/>
  <c r="U31" i="4"/>
  <c r="U32" i="4"/>
  <c r="U33" i="4"/>
  <c r="U28" i="4"/>
  <c r="S29" i="4"/>
  <c r="S30" i="4"/>
  <c r="S31" i="4"/>
  <c r="S32" i="4"/>
  <c r="S33" i="4"/>
  <c r="S28" i="4"/>
  <c r="T28" i="4" s="1"/>
  <c r="W27" i="4"/>
  <c r="U27" i="4"/>
  <c r="S27" i="4"/>
  <c r="R27" i="4"/>
  <c r="M36" i="4"/>
  <c r="M34" i="4"/>
  <c r="M32" i="4"/>
  <c r="M30" i="4"/>
  <c r="M37" i="4"/>
  <c r="M35" i="4"/>
  <c r="M33" i="4"/>
  <c r="M29" i="4"/>
  <c r="M31" i="4"/>
  <c r="O28" i="4"/>
  <c r="O27" i="4"/>
  <c r="P39" i="4"/>
  <c r="P38" i="4"/>
  <c r="N31" i="4"/>
  <c r="N32" i="4" s="1"/>
  <c r="N30" i="4"/>
  <c r="N29" i="4"/>
  <c r="P28" i="4"/>
  <c r="P27" i="4"/>
  <c r="H36" i="4"/>
  <c r="H34" i="4"/>
  <c r="H32" i="4"/>
  <c r="H37" i="4"/>
  <c r="H35" i="4"/>
  <c r="H33" i="4"/>
  <c r="H31" i="4"/>
  <c r="H30" i="4"/>
  <c r="H29" i="4"/>
  <c r="K39" i="4"/>
  <c r="K38" i="4"/>
  <c r="I31" i="4"/>
  <c r="I32" i="4"/>
  <c r="I33" i="4"/>
  <c r="I34" i="4"/>
  <c r="I35" i="4"/>
  <c r="I36" i="4"/>
  <c r="I37" i="4"/>
  <c r="I30" i="4"/>
  <c r="I29" i="4"/>
  <c r="J28" i="4"/>
  <c r="J27" i="4"/>
  <c r="K28" i="4"/>
  <c r="L28" i="4" s="1"/>
  <c r="K27" i="4"/>
  <c r="G27" i="4"/>
  <c r="G38" i="4"/>
  <c r="C36" i="4"/>
  <c r="C34" i="4"/>
  <c r="G34" i="4" s="1"/>
  <c r="C32" i="4"/>
  <c r="C37" i="4"/>
  <c r="C35" i="4"/>
  <c r="C33" i="4"/>
  <c r="C31" i="4"/>
  <c r="C30" i="4"/>
  <c r="G30" i="4" s="1"/>
  <c r="C29" i="4"/>
  <c r="F38" i="4"/>
  <c r="F39" i="4"/>
  <c r="D31" i="4"/>
  <c r="D32" i="4"/>
  <c r="D33" i="4"/>
  <c r="D34" i="4"/>
  <c r="D35" i="4"/>
  <c r="D36" i="4"/>
  <c r="D37" i="4"/>
  <c r="D30" i="4"/>
  <c r="D29" i="4"/>
  <c r="F28" i="4"/>
  <c r="G28" i="4" s="1"/>
  <c r="F27" i="4"/>
  <c r="E28" i="4"/>
  <c r="E27" i="4"/>
  <c r="N68" i="4"/>
  <c r="F68" i="4"/>
  <c r="C68" i="4"/>
  <c r="I67" i="4"/>
  <c r="K67" i="4" s="1"/>
  <c r="H67" i="4"/>
  <c r="E67" i="4"/>
  <c r="M67" i="4" s="1"/>
  <c r="P67" i="4" s="1"/>
  <c r="I66" i="4"/>
  <c r="K66" i="4" s="1"/>
  <c r="M66" i="4" s="1"/>
  <c r="P66" i="4" s="1"/>
  <c r="H66" i="4"/>
  <c r="E66" i="4"/>
  <c r="I65" i="4"/>
  <c r="K65" i="4" s="1"/>
  <c r="H65" i="4"/>
  <c r="E65" i="4"/>
  <c r="M65" i="4" s="1"/>
  <c r="P65" i="4" s="1"/>
  <c r="I64" i="4"/>
  <c r="K64" i="4" s="1"/>
  <c r="H64" i="4"/>
  <c r="E64" i="4"/>
  <c r="M64" i="4" s="1"/>
  <c r="P64" i="4" s="1"/>
  <c r="I63" i="4"/>
  <c r="K63" i="4" s="1"/>
  <c r="H63" i="4"/>
  <c r="E63" i="4"/>
  <c r="M63" i="4" s="1"/>
  <c r="P63" i="4" s="1"/>
  <c r="I62" i="4"/>
  <c r="K62" i="4" s="1"/>
  <c r="I61" i="4"/>
  <c r="K61" i="4" s="1"/>
  <c r="H61" i="4"/>
  <c r="E61" i="4"/>
  <c r="M61" i="4" s="1"/>
  <c r="P61" i="4" s="1"/>
  <c r="I60" i="4"/>
  <c r="K60" i="4" s="1"/>
  <c r="H60" i="4"/>
  <c r="E60" i="4"/>
  <c r="M60" i="4" s="1"/>
  <c r="P60" i="4" s="1"/>
  <c r="I59" i="4"/>
  <c r="H59" i="4"/>
  <c r="E59" i="4"/>
  <c r="I58" i="4"/>
  <c r="K58" i="4" s="1"/>
  <c r="H58" i="4"/>
  <c r="E58" i="4"/>
  <c r="M58" i="4" s="1"/>
  <c r="P58" i="4" s="1"/>
  <c r="I57" i="4"/>
  <c r="K57" i="4" s="1"/>
  <c r="H57" i="4"/>
  <c r="E57" i="4"/>
  <c r="M57" i="4" s="1"/>
  <c r="P57" i="4" s="1"/>
  <c r="I56" i="4"/>
  <c r="K56" i="4" s="1"/>
  <c r="H56" i="4"/>
  <c r="E56" i="4"/>
  <c r="M56" i="4" s="1"/>
  <c r="P56" i="4" s="1"/>
  <c r="I55" i="4"/>
  <c r="K55" i="4" s="1"/>
  <c r="H55" i="4"/>
  <c r="E55" i="4"/>
  <c r="M55" i="4" s="1"/>
  <c r="P55" i="4" s="1"/>
  <c r="I54" i="4"/>
  <c r="K54" i="4" s="1"/>
  <c r="H54" i="4"/>
  <c r="E54" i="4"/>
  <c r="M54" i="4" s="1"/>
  <c r="P54" i="4" s="1"/>
  <c r="I53" i="4"/>
  <c r="K53" i="4" s="1"/>
  <c r="H53" i="4"/>
  <c r="E53" i="4"/>
  <c r="M53" i="4" s="1"/>
  <c r="P53" i="4" s="1"/>
  <c r="I52" i="4"/>
  <c r="K52" i="4" s="1"/>
  <c r="H52" i="4"/>
  <c r="E52" i="4"/>
  <c r="M52" i="4" s="1"/>
  <c r="P52" i="4" s="1"/>
  <c r="I51" i="4"/>
  <c r="K51" i="4" s="1"/>
  <c r="H51" i="4"/>
  <c r="E51" i="4"/>
  <c r="M51" i="4" s="1"/>
  <c r="P51" i="4" s="1"/>
  <c r="I50" i="4"/>
  <c r="L84" i="4"/>
  <c r="L85" i="4"/>
  <c r="L86" i="4"/>
  <c r="L87" i="4"/>
  <c r="L88" i="4"/>
  <c r="L89" i="4"/>
  <c r="L90" i="4"/>
  <c r="L91" i="4"/>
  <c r="I75" i="4"/>
  <c r="K75" i="4" s="1"/>
  <c r="I76" i="4"/>
  <c r="K76" i="4" s="1"/>
  <c r="I77" i="4"/>
  <c r="K77" i="4" s="1"/>
  <c r="I78" i="4"/>
  <c r="K78" i="4" s="1"/>
  <c r="I79" i="4"/>
  <c r="K79" i="4" s="1"/>
  <c r="I80" i="4"/>
  <c r="K80" i="4" s="1"/>
  <c r="I81" i="4"/>
  <c r="K81" i="4" s="1"/>
  <c r="I82" i="4"/>
  <c r="K82" i="4" s="1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90" i="4"/>
  <c r="K90" i="4" s="1"/>
  <c r="I91" i="4"/>
  <c r="K91" i="4" s="1"/>
  <c r="I74" i="4"/>
  <c r="K74" i="4" s="1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74" i="4"/>
  <c r="H84" i="4"/>
  <c r="H85" i="4"/>
  <c r="H86" i="4"/>
  <c r="H87" i="4"/>
  <c r="H88" i="4"/>
  <c r="H89" i="4"/>
  <c r="H90" i="4"/>
  <c r="H91" i="4"/>
  <c r="Y45" i="4"/>
  <c r="W45" i="4"/>
  <c r="U45" i="4"/>
  <c r="S45" i="4"/>
  <c r="R45" i="4"/>
  <c r="P45" i="4"/>
  <c r="M45" i="4"/>
  <c r="K45" i="4"/>
  <c r="I45" i="4"/>
  <c r="H45" i="4"/>
  <c r="D45" i="4"/>
  <c r="C45" i="4"/>
  <c r="V44" i="4"/>
  <c r="T44" i="4"/>
  <c r="AB44" i="4" s="1"/>
  <c r="Q44" i="4"/>
  <c r="L44" i="4"/>
  <c r="G44" i="4"/>
  <c r="V43" i="4"/>
  <c r="T43" i="4"/>
  <c r="AB43" i="4" s="1"/>
  <c r="Q43" i="4"/>
  <c r="L43" i="4"/>
  <c r="G43" i="4"/>
  <c r="V42" i="4"/>
  <c r="T42" i="4"/>
  <c r="AB42" i="4" s="1"/>
  <c r="Q42" i="4"/>
  <c r="L42" i="4"/>
  <c r="G42" i="4"/>
  <c r="V41" i="4"/>
  <c r="T41" i="4"/>
  <c r="AB41" i="4" s="1"/>
  <c r="Q41" i="4"/>
  <c r="L41" i="4"/>
  <c r="G41" i="4"/>
  <c r="V40" i="4"/>
  <c r="T40" i="4"/>
  <c r="AB40" i="4" s="1"/>
  <c r="Q40" i="4"/>
  <c r="L40" i="4"/>
  <c r="G40" i="4"/>
  <c r="T39" i="4"/>
  <c r="Q39" i="4"/>
  <c r="V38" i="4"/>
  <c r="T38" i="4"/>
  <c r="AB38" i="4" s="1"/>
  <c r="L38" i="4"/>
  <c r="V37" i="4"/>
  <c r="T37" i="4"/>
  <c r="L37" i="4"/>
  <c r="G37" i="4"/>
  <c r="V36" i="4"/>
  <c r="T36" i="4"/>
  <c r="L36" i="4"/>
  <c r="G36" i="4"/>
  <c r="V35" i="4"/>
  <c r="T35" i="4"/>
  <c r="AB35" i="4" s="1"/>
  <c r="L35" i="4"/>
  <c r="G35" i="4"/>
  <c r="L34" i="4"/>
  <c r="V33" i="4"/>
  <c r="T33" i="4"/>
  <c r="AB33" i="4" s="1"/>
  <c r="L33" i="4"/>
  <c r="G33" i="4"/>
  <c r="V32" i="4"/>
  <c r="T32" i="4"/>
  <c r="AB32" i="4" s="1"/>
  <c r="L32" i="4"/>
  <c r="G32" i="4"/>
  <c r="V31" i="4"/>
  <c r="T31" i="4"/>
  <c r="AB31" i="4" s="1"/>
  <c r="Q31" i="4"/>
  <c r="L31" i="4"/>
  <c r="G31" i="4"/>
  <c r="Q30" i="4"/>
  <c r="L30" i="4"/>
  <c r="V29" i="4"/>
  <c r="T29" i="4"/>
  <c r="AB29" i="4" s="1"/>
  <c r="Q29" i="4"/>
  <c r="L29" i="4"/>
  <c r="G29" i="4"/>
  <c r="V28" i="4"/>
  <c r="Q28" i="4"/>
  <c r="V27" i="4"/>
  <c r="T27" i="4"/>
  <c r="Q27" i="4"/>
  <c r="L27" i="4"/>
  <c r="Y22" i="4"/>
  <c r="W22" i="4"/>
  <c r="U22" i="4"/>
  <c r="S22" i="4"/>
  <c r="R22" i="4"/>
  <c r="P22" i="4"/>
  <c r="O22" i="4"/>
  <c r="N22" i="4"/>
  <c r="M22" i="4"/>
  <c r="K22" i="4"/>
  <c r="J22" i="4"/>
  <c r="I22" i="4"/>
  <c r="H22" i="4"/>
  <c r="F22" i="4"/>
  <c r="E22" i="4"/>
  <c r="D22" i="4"/>
  <c r="C22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T5" i="4"/>
  <c r="AB5" i="4" s="1"/>
  <c r="T6" i="4"/>
  <c r="AB6" i="4" s="1"/>
  <c r="T7" i="4"/>
  <c r="AB7" i="4" s="1"/>
  <c r="T8" i="4"/>
  <c r="AB8" i="4" s="1"/>
  <c r="T9" i="4"/>
  <c r="T10" i="4"/>
  <c r="AB10" i="4" s="1"/>
  <c r="T11" i="4"/>
  <c r="AB11" i="4" s="1"/>
  <c r="T12" i="4"/>
  <c r="AB12" i="4" s="1"/>
  <c r="T13" i="4"/>
  <c r="AB13" i="4" s="1"/>
  <c r="T14" i="4"/>
  <c r="AB14" i="4" s="1"/>
  <c r="T15" i="4"/>
  <c r="AB15" i="4" s="1"/>
  <c r="T16" i="4"/>
  <c r="AB16" i="4" s="1"/>
  <c r="T17" i="4"/>
  <c r="AB17" i="4" s="1"/>
  <c r="T18" i="4"/>
  <c r="AB18" i="4" s="1"/>
  <c r="T19" i="4"/>
  <c r="AB19" i="4" s="1"/>
  <c r="T20" i="4"/>
  <c r="AB20" i="4" s="1"/>
  <c r="T21" i="4"/>
  <c r="AB21" i="4" s="1"/>
  <c r="V4" i="4"/>
  <c r="V22" i="4" s="1"/>
  <c r="T4" i="4"/>
  <c r="Q4" i="4"/>
  <c r="L4" i="4"/>
  <c r="G4" i="4"/>
  <c r="Q14" i="4"/>
  <c r="Q15" i="4"/>
  <c r="Q16" i="4"/>
  <c r="Q17" i="4"/>
  <c r="Q18" i="4"/>
  <c r="Q19" i="4"/>
  <c r="Q20" i="4"/>
  <c r="Q21" i="4"/>
  <c r="L14" i="4"/>
  <c r="L15" i="4"/>
  <c r="L16" i="4"/>
  <c r="L17" i="4"/>
  <c r="L18" i="4"/>
  <c r="L19" i="4"/>
  <c r="L20" i="4"/>
  <c r="L21" i="4"/>
  <c r="G14" i="4"/>
  <c r="G15" i="4"/>
  <c r="G16" i="4"/>
  <c r="G17" i="4"/>
  <c r="G18" i="4"/>
  <c r="G19" i="4"/>
  <c r="G20" i="4"/>
  <c r="G21" i="4"/>
  <c r="L5" i="4"/>
  <c r="L6" i="4"/>
  <c r="L7" i="4"/>
  <c r="L8" i="4"/>
  <c r="L9" i="4"/>
  <c r="L10" i="4"/>
  <c r="L11" i="4"/>
  <c r="L12" i="4"/>
  <c r="L13" i="4"/>
  <c r="G107" i="4"/>
  <c r="F107" i="4"/>
  <c r="E107" i="4"/>
  <c r="D107" i="4"/>
  <c r="C107" i="4"/>
  <c r="B107" i="4"/>
  <c r="G106" i="4"/>
  <c r="E106" i="4"/>
  <c r="C106" i="4"/>
  <c r="B106" i="4"/>
  <c r="G105" i="4"/>
  <c r="E105" i="4"/>
  <c r="C105" i="4"/>
  <c r="B105" i="4"/>
  <c r="G104" i="4"/>
  <c r="E104" i="4"/>
  <c r="C104" i="4"/>
  <c r="B104" i="4"/>
  <c r="G103" i="4"/>
  <c r="E103" i="4"/>
  <c r="C103" i="4"/>
  <c r="B103" i="4"/>
  <c r="G102" i="4"/>
  <c r="E102" i="4"/>
  <c r="C102" i="4"/>
  <c r="B102" i="4"/>
  <c r="G101" i="4"/>
  <c r="E101" i="4"/>
  <c r="C101" i="4"/>
  <c r="B101" i="4"/>
  <c r="G100" i="4"/>
  <c r="E100" i="4"/>
  <c r="C100" i="4"/>
  <c r="B100" i="4"/>
  <c r="G99" i="4"/>
  <c r="E99" i="4"/>
  <c r="C99" i="4"/>
  <c r="B99" i="4"/>
  <c r="G98" i="4"/>
  <c r="E98" i="4"/>
  <c r="C98" i="4"/>
  <c r="B98" i="4"/>
  <c r="G97" i="4"/>
  <c r="E97" i="4"/>
  <c r="C97" i="4"/>
  <c r="B97" i="4"/>
  <c r="G96" i="4"/>
  <c r="G108" i="4" s="1"/>
  <c r="E96" i="4"/>
  <c r="E108" i="4" s="1"/>
  <c r="C96" i="4"/>
  <c r="C108" i="4" s="1"/>
  <c r="B96" i="4"/>
  <c r="B108" i="4" s="1"/>
  <c r="N92" i="4"/>
  <c r="G92" i="4"/>
  <c r="D92" i="4"/>
  <c r="L83" i="4"/>
  <c r="L82" i="4"/>
  <c r="L81" i="4"/>
  <c r="L80" i="4"/>
  <c r="H80" i="4"/>
  <c r="L79" i="4"/>
  <c r="H79" i="4"/>
  <c r="L78" i="4"/>
  <c r="L77" i="4"/>
  <c r="L76" i="4"/>
  <c r="L75" i="4"/>
  <c r="L74" i="4"/>
  <c r="H74" i="4"/>
  <c r="Q6" i="4"/>
  <c r="D99" i="4"/>
  <c r="G6" i="4"/>
  <c r="D98" i="4"/>
  <c r="G5" i="4"/>
  <c r="D9" i="1"/>
  <c r="D10" i="1"/>
  <c r="D11" i="1"/>
  <c r="D12" i="1"/>
  <c r="D13" i="1"/>
  <c r="D8" i="1"/>
  <c r="D6" i="1"/>
  <c r="D7" i="1"/>
  <c r="F6" i="1"/>
  <c r="F7" i="1" s="1"/>
  <c r="D5" i="1"/>
  <c r="B6" i="1"/>
  <c r="B7" i="1"/>
  <c r="B8" i="1"/>
  <c r="B9" i="1"/>
  <c r="B10" i="1"/>
  <c r="B11" i="1"/>
  <c r="B12" i="1"/>
  <c r="B13" i="1"/>
  <c r="B5" i="1"/>
  <c r="A2" i="1"/>
  <c r="B19" i="1"/>
  <c r="B18" i="1"/>
  <c r="E133" i="2"/>
  <c r="B132" i="2"/>
  <c r="B131" i="2"/>
  <c r="B26" i="3"/>
  <c r="D132" i="2"/>
  <c r="E131" i="2"/>
  <c r="AC56" i="2"/>
  <c r="AC58" i="2"/>
  <c r="AC60" i="2"/>
  <c r="AC62" i="2"/>
  <c r="AC55" i="2"/>
  <c r="R67" i="2"/>
  <c r="S67" i="2" s="1"/>
  <c r="S66" i="2"/>
  <c r="S68" i="2" s="1"/>
  <c r="S70" i="2" s="1"/>
  <c r="Y67" i="2"/>
  <c r="Z67" i="2" s="1"/>
  <c r="Z66" i="2"/>
  <c r="Z62" i="2"/>
  <c r="Z61" i="2"/>
  <c r="Z60" i="2"/>
  <c r="Z59" i="2"/>
  <c r="Z58" i="2"/>
  <c r="Z57" i="2"/>
  <c r="Y56" i="2"/>
  <c r="Z56" i="2" s="1"/>
  <c r="W55" i="2"/>
  <c r="Z54" i="2"/>
  <c r="K92" i="2"/>
  <c r="L92" i="2" s="1"/>
  <c r="L91" i="2"/>
  <c r="L93" i="2" s="1"/>
  <c r="E91" i="2"/>
  <c r="D92" i="2"/>
  <c r="E92" i="2" s="1"/>
  <c r="E93" i="2" s="1"/>
  <c r="E95" i="2" s="1"/>
  <c r="K81" i="2"/>
  <c r="L81" i="2" s="1"/>
  <c r="I80" i="2"/>
  <c r="L82" i="2"/>
  <c r="L83" i="2"/>
  <c r="L84" i="2"/>
  <c r="L85" i="2"/>
  <c r="L86" i="2"/>
  <c r="L87" i="2"/>
  <c r="L79" i="2"/>
  <c r="S80" i="2"/>
  <c r="S81" i="2"/>
  <c r="S82" i="2"/>
  <c r="S83" i="2"/>
  <c r="S84" i="2"/>
  <c r="S85" i="2"/>
  <c r="S86" i="2"/>
  <c r="S87" i="2"/>
  <c r="S79" i="2"/>
  <c r="S88" i="2" s="1"/>
  <c r="A3" i="1"/>
  <c r="K50" i="4" l="1"/>
  <c r="M50" i="4" s="1"/>
  <c r="P50" i="4" s="1"/>
  <c r="G68" i="4"/>
  <c r="H62" i="4"/>
  <c r="H68" i="4" s="1"/>
  <c r="E62" i="4"/>
  <c r="D68" i="4"/>
  <c r="E45" i="4"/>
  <c r="G39" i="4"/>
  <c r="G45" i="4" s="1"/>
  <c r="AB39" i="4"/>
  <c r="V34" i="4"/>
  <c r="T34" i="4"/>
  <c r="V30" i="4"/>
  <c r="T30" i="4"/>
  <c r="AB30" i="4" s="1"/>
  <c r="AB28" i="4"/>
  <c r="V45" i="4"/>
  <c r="Q38" i="4"/>
  <c r="O45" i="4"/>
  <c r="N33" i="4"/>
  <c r="Q32" i="4"/>
  <c r="J45" i="4"/>
  <c r="L39" i="4"/>
  <c r="F45" i="4"/>
  <c r="K59" i="4"/>
  <c r="K68" i="4" s="1"/>
  <c r="I68" i="4"/>
  <c r="M59" i="4"/>
  <c r="P59" i="4" s="1"/>
  <c r="M79" i="4"/>
  <c r="P79" i="4" s="1"/>
  <c r="M80" i="4"/>
  <c r="P80" i="4" s="1"/>
  <c r="M84" i="4"/>
  <c r="P84" i="4" s="1"/>
  <c r="M85" i="4"/>
  <c r="P85" i="4" s="1"/>
  <c r="M86" i="4"/>
  <c r="P86" i="4" s="1"/>
  <c r="M87" i="4"/>
  <c r="P87" i="4" s="1"/>
  <c r="M88" i="4"/>
  <c r="P88" i="4" s="1"/>
  <c r="M89" i="4"/>
  <c r="P89" i="4" s="1"/>
  <c r="M90" i="4"/>
  <c r="P90" i="4" s="1"/>
  <c r="M91" i="4"/>
  <c r="P91" i="4" s="1"/>
  <c r="M74" i="4"/>
  <c r="P74" i="4" s="1"/>
  <c r="AB37" i="4"/>
  <c r="AB9" i="4"/>
  <c r="AB36" i="4"/>
  <c r="X44" i="4"/>
  <c r="Z44" i="4"/>
  <c r="AA44" i="4" s="1"/>
  <c r="Z43" i="4"/>
  <c r="AA43" i="4" s="1"/>
  <c r="X43" i="4"/>
  <c r="X42" i="4"/>
  <c r="Z42" i="4"/>
  <c r="AA42" i="4" s="1"/>
  <c r="X41" i="4"/>
  <c r="Z41" i="4"/>
  <c r="AA41" i="4" s="1"/>
  <c r="X40" i="4"/>
  <c r="Z40" i="4"/>
  <c r="AA40" i="4" s="1"/>
  <c r="X38" i="4"/>
  <c r="Z38" i="4"/>
  <c r="AA38" i="4" s="1"/>
  <c r="Z32" i="4"/>
  <c r="AA32" i="4" s="1"/>
  <c r="X32" i="4"/>
  <c r="Z31" i="4"/>
  <c r="AA31" i="4" s="1"/>
  <c r="X31" i="4"/>
  <c r="X30" i="4"/>
  <c r="Z30" i="4"/>
  <c r="AA30" i="4" s="1"/>
  <c r="Z29" i="4"/>
  <c r="AA29" i="4" s="1"/>
  <c r="X29" i="4"/>
  <c r="X28" i="4"/>
  <c r="Z28" i="4"/>
  <c r="AA28" i="4" s="1"/>
  <c r="T45" i="4"/>
  <c r="AB27" i="4"/>
  <c r="Z27" i="4"/>
  <c r="X27" i="4"/>
  <c r="L22" i="4"/>
  <c r="T22" i="4"/>
  <c r="AB4" i="4"/>
  <c r="AB22" i="4" s="1"/>
  <c r="X4" i="4"/>
  <c r="Z4" i="4"/>
  <c r="X14" i="4"/>
  <c r="Z14" i="4"/>
  <c r="AA14" i="4" s="1"/>
  <c r="X15" i="4"/>
  <c r="Z15" i="4"/>
  <c r="AA15" i="4" s="1"/>
  <c r="X16" i="4"/>
  <c r="Z16" i="4"/>
  <c r="AA16" i="4" s="1"/>
  <c r="X17" i="4"/>
  <c r="Z17" i="4"/>
  <c r="AA17" i="4" s="1"/>
  <c r="X18" i="4"/>
  <c r="Z18" i="4"/>
  <c r="AA18" i="4" s="1"/>
  <c r="X19" i="4"/>
  <c r="Z19" i="4"/>
  <c r="AA19" i="4" s="1"/>
  <c r="X20" i="4"/>
  <c r="Z20" i="4"/>
  <c r="AA20" i="4" s="1"/>
  <c r="X21" i="4"/>
  <c r="Z21" i="4"/>
  <c r="AA21" i="4" s="1"/>
  <c r="X6" i="4"/>
  <c r="Z6" i="4"/>
  <c r="AA6" i="4" s="1"/>
  <c r="C109" i="4"/>
  <c r="H83" i="4"/>
  <c r="F92" i="4"/>
  <c r="E92" i="4"/>
  <c r="H82" i="4"/>
  <c r="M82" i="4" s="1"/>
  <c r="P82" i="4" s="1"/>
  <c r="H81" i="4"/>
  <c r="M81" i="4" s="1"/>
  <c r="P81" i="4" s="1"/>
  <c r="H78" i="4"/>
  <c r="M78" i="4" s="1"/>
  <c r="P78" i="4" s="1"/>
  <c r="H77" i="4"/>
  <c r="M77" i="4" s="1"/>
  <c r="P77" i="4" s="1"/>
  <c r="C92" i="4"/>
  <c r="H76" i="4"/>
  <c r="M76" i="4" s="1"/>
  <c r="P76" i="4" s="1"/>
  <c r="H75" i="4"/>
  <c r="M75" i="4" s="1"/>
  <c r="P75" i="4" s="1"/>
  <c r="Q7" i="4"/>
  <c r="D100" i="4"/>
  <c r="G7" i="4"/>
  <c r="F99" i="4"/>
  <c r="Q5" i="4"/>
  <c r="F98" i="4"/>
  <c r="D97" i="4"/>
  <c r="D96" i="4"/>
  <c r="F96" i="4"/>
  <c r="E18" i="1"/>
  <c r="D19" i="1"/>
  <c r="E19" i="1" s="1"/>
  <c r="E20" i="1" s="1"/>
  <c r="E132" i="2"/>
  <c r="E135" i="2"/>
  <c r="Z68" i="2"/>
  <c r="Z63" i="2"/>
  <c r="L88" i="2"/>
  <c r="L95" i="2" s="1"/>
  <c r="E5" i="1"/>
  <c r="E6" i="1"/>
  <c r="E13" i="1"/>
  <c r="A1" i="1"/>
  <c r="M62" i="4" l="1"/>
  <c r="P62" i="4" s="1"/>
  <c r="E68" i="4"/>
  <c r="AB34" i="4"/>
  <c r="AB45" i="4" s="1"/>
  <c r="N34" i="4"/>
  <c r="Q33" i="4"/>
  <c r="L45" i="4"/>
  <c r="X39" i="4"/>
  <c r="Z39" i="4"/>
  <c r="AA39" i="4" s="1"/>
  <c r="H92" i="4"/>
  <c r="M83" i="4"/>
  <c r="P83" i="4" s="1"/>
  <c r="AA27" i="4"/>
  <c r="AA4" i="4"/>
  <c r="Z7" i="4"/>
  <c r="AA7" i="4" s="1"/>
  <c r="X5" i="4"/>
  <c r="Z5" i="4"/>
  <c r="X7" i="4"/>
  <c r="I92" i="4"/>
  <c r="Q8" i="4"/>
  <c r="F100" i="4"/>
  <c r="G8" i="4"/>
  <c r="F97" i="4"/>
  <c r="Z70" i="2"/>
  <c r="E8" i="1"/>
  <c r="E10" i="1"/>
  <c r="E7" i="1"/>
  <c r="E12" i="1"/>
  <c r="E11" i="1"/>
  <c r="E9" i="1"/>
  <c r="Q34" i="4" l="1"/>
  <c r="N35" i="4"/>
  <c r="Z33" i="4"/>
  <c r="X33" i="4"/>
  <c r="AA5" i="4"/>
  <c r="X8" i="4"/>
  <c r="Z8" i="4"/>
  <c r="K92" i="4"/>
  <c r="Q9" i="4"/>
  <c r="D101" i="4"/>
  <c r="F101" i="4"/>
  <c r="G9" i="4"/>
  <c r="E14" i="1"/>
  <c r="E22" i="1" s="1"/>
  <c r="Z34" i="4" l="1"/>
  <c r="AA34" i="4" s="1"/>
  <c r="X34" i="4"/>
  <c r="Q35" i="4"/>
  <c r="N36" i="4"/>
  <c r="AA33" i="4"/>
  <c r="AA8" i="4"/>
  <c r="X9" i="4"/>
  <c r="Z9" i="4"/>
  <c r="Q10" i="4"/>
  <c r="D103" i="4"/>
  <c r="F102" i="4"/>
  <c r="G10" i="4"/>
  <c r="D102" i="4"/>
  <c r="X35" i="4" l="1"/>
  <c r="Z35" i="4"/>
  <c r="N45" i="4"/>
  <c r="Q36" i="4"/>
  <c r="Q45" i="4" s="1"/>
  <c r="N37" i="4"/>
  <c r="Q37" i="4" s="1"/>
  <c r="AA9" i="4"/>
  <c r="X10" i="4"/>
  <c r="Z10" i="4"/>
  <c r="AA10" i="4" s="1"/>
  <c r="Q11" i="4"/>
  <c r="G11" i="4"/>
  <c r="F103" i="4"/>
  <c r="AA35" i="4" l="1"/>
  <c r="X36" i="4"/>
  <c r="Z36" i="4"/>
  <c r="Z37" i="4"/>
  <c r="AA37" i="4" s="1"/>
  <c r="X37" i="4"/>
  <c r="X11" i="4"/>
  <c r="Z11" i="4"/>
  <c r="AA11" i="4" s="1"/>
  <c r="Q12" i="4"/>
  <c r="D105" i="4"/>
  <c r="D104" i="4"/>
  <c r="F104" i="4"/>
  <c r="G12" i="4"/>
  <c r="X45" i="4" l="1"/>
  <c r="AA36" i="4"/>
  <c r="AA45" i="4" s="1"/>
  <c r="Z45" i="4"/>
  <c r="X12" i="4"/>
  <c r="Z12" i="4"/>
  <c r="AA12" i="4" s="1"/>
  <c r="Q13" i="4"/>
  <c r="Q22" i="4" s="1"/>
  <c r="F105" i="4"/>
  <c r="G13" i="4"/>
  <c r="X13" i="4" l="1"/>
  <c r="X22" i="4" s="1"/>
  <c r="Z13" i="4"/>
  <c r="G22" i="4"/>
  <c r="D106" i="4"/>
  <c r="D108" i="4" s="1"/>
  <c r="E109" i="4" s="1"/>
  <c r="F106" i="4"/>
  <c r="F108" i="4" s="1"/>
  <c r="G109" i="4" s="1"/>
  <c r="Z22" i="4" l="1"/>
  <c r="AA13" i="4"/>
  <c r="AA22" i="4" s="1"/>
</calcChain>
</file>

<file path=xl/sharedStrings.xml><?xml version="1.0" encoding="utf-8"?>
<sst xmlns="http://schemas.openxmlformats.org/spreadsheetml/2006/main" count="740" uniqueCount="137">
  <si>
    <t>8 Field Street Main Electrical</t>
  </si>
  <si>
    <t>8_Field_Street_Ekurhuleni_Tariff_E</t>
  </si>
  <si>
    <t>Entry</t>
  </si>
  <si>
    <t>Rate</t>
  </si>
  <si>
    <t>Unit</t>
  </si>
  <si>
    <t>Reading</t>
  </si>
  <si>
    <t>Cost</t>
  </si>
  <si>
    <t>Comment</t>
  </si>
  <si>
    <t>Fixed Charge</t>
  </si>
  <si>
    <t>R/c</t>
  </si>
  <si>
    <t>Network Access</t>
  </si>
  <si>
    <t>R/kVA</t>
  </si>
  <si>
    <t>Network Demand</t>
  </si>
  <si>
    <t>Peak Energy - High Demand</t>
  </si>
  <si>
    <t>R/kWh</t>
  </si>
  <si>
    <t>Peak Energy - Low Demand</t>
  </si>
  <si>
    <t>Standard Energy - High Demand</t>
  </si>
  <si>
    <t>Standard Energy - Low Demand</t>
  </si>
  <si>
    <t>Off-Peak Energy - High Demand</t>
  </si>
  <si>
    <t>Off-Peak Energy - Low Demand</t>
  </si>
  <si>
    <t>Total (Excl VAT)</t>
  </si>
  <si>
    <t>Range: From 2025-07-01 00:01 to 2025-08-01 00:00</t>
  </si>
  <si>
    <t>Total</t>
  </si>
  <si>
    <t>Range: From 2025-08-01 00:01 to 2025-09-01 00:00</t>
  </si>
  <si>
    <t>Range: From 2025-09-01 00:01 to 2025-10-01 00:00</t>
  </si>
  <si>
    <t>Range: From 2025-10-01 00:01 to 2025-11-01 00:00</t>
  </si>
  <si>
    <t>Water &amp; Sanitation</t>
  </si>
  <si>
    <t>Water Consumption</t>
  </si>
  <si>
    <t>R/kL</t>
  </si>
  <si>
    <t>Sewer</t>
  </si>
  <si>
    <t>Total (Ex VAT)</t>
  </si>
  <si>
    <t>Sub Total (Ex VAT)</t>
  </si>
  <si>
    <t>Range: From 2025-11-01 00:01 to 2025-12-01 00:00</t>
  </si>
  <si>
    <t>Range: From 2025-12-01 00:01 to 2026-01-01 00:00</t>
  </si>
  <si>
    <t>Range: From 2026-01-01 00:01 to 2026-02-01 00:00</t>
  </si>
  <si>
    <t>Range: From 2026-02-01 00:01 to 2026-03-01 00:00</t>
  </si>
  <si>
    <t>Ekurhuleni_Tariff_E_TOU_8 Field Street</t>
  </si>
  <si>
    <t>Range: From 2026-03-01 00:01 to 2026-04-01 00:00</t>
  </si>
  <si>
    <t>Range: From 2026-04-01 00:01 to 2026-05-01 00:00</t>
  </si>
  <si>
    <t>Range: From 2026-05-01 00:01 to 2026-06-01 00:00</t>
  </si>
  <si>
    <t>Range: From 2026-06-01 00:01 to 2026-07-01 00:00</t>
  </si>
  <si>
    <t>Range: From 2026-07-01 00:01 to 2026-08-01 00:00</t>
  </si>
  <si>
    <t>Basic Charge</t>
  </si>
  <si>
    <t>R/Month</t>
  </si>
  <si>
    <t>Demand Charge</t>
  </si>
  <si>
    <t>NAC</t>
  </si>
  <si>
    <t>High Demand - Peak</t>
  </si>
  <si>
    <t>Low Demand - Peak</t>
  </si>
  <si>
    <t>High Demand - STD</t>
  </si>
  <si>
    <t>High Demand - Off-Peak</t>
  </si>
  <si>
    <t>Low Demand - Std</t>
  </si>
  <si>
    <t>Low Demand - Off-Peak</t>
  </si>
  <si>
    <t>2025/2026</t>
  </si>
  <si>
    <t>2026/2027</t>
  </si>
  <si>
    <t>E.3.1.3.</t>
  </si>
  <si>
    <t>E.3.1.6.</t>
  </si>
  <si>
    <t>E.3.1.9.</t>
  </si>
  <si>
    <t>E.3.2.3.</t>
  </si>
  <si>
    <t>E.3.2.6.</t>
  </si>
  <si>
    <t>E.3.2.9.</t>
  </si>
  <si>
    <t>E.1.2</t>
  </si>
  <si>
    <t>0 - 5 000 kl/month</t>
  </si>
  <si>
    <t>5 001 - 25 000 kl/month</t>
  </si>
  <si>
    <t>25 001 -</t>
  </si>
  <si>
    <t>Electricity Tariff</t>
  </si>
  <si>
    <t>Water Tariff</t>
  </si>
  <si>
    <t>Sewerage Tariff</t>
  </si>
  <si>
    <t>0 - 3 500 kl/month</t>
  </si>
  <si>
    <t>7001 - 15000 kL/month</t>
  </si>
  <si>
    <t>3501 - 7000 kL/month</t>
  </si>
  <si>
    <t>15001 - 25000 kL/month</t>
  </si>
  <si>
    <t>25001 - kL/month</t>
  </si>
  <si>
    <t>E.2.1.3.</t>
  </si>
  <si>
    <t>E.2.3.3.</t>
  </si>
  <si>
    <t>Factor (kVA)</t>
  </si>
  <si>
    <t>Factor (kWh)</t>
  </si>
  <si>
    <t>Munic Monthly Bill</t>
  </si>
  <si>
    <t>Peak (Low)</t>
  </si>
  <si>
    <t>Peak Charge (Low)</t>
  </si>
  <si>
    <t>Peak (High)</t>
  </si>
  <si>
    <t>Peak Charge (High)</t>
  </si>
  <si>
    <t xml:space="preserve">Peak Total </t>
  </si>
  <si>
    <t>Off-Peak (Low)</t>
  </si>
  <si>
    <t>Off-Peak Charge (High)</t>
  </si>
  <si>
    <t>Off-Peak (High)</t>
  </si>
  <si>
    <t xml:space="preserve">Off-Peak total </t>
  </si>
  <si>
    <t>Standard (Low)</t>
  </si>
  <si>
    <t>Standard Charge (Low)</t>
  </si>
  <si>
    <t>Standard (High)</t>
  </si>
  <si>
    <t>Standard Charge (High)</t>
  </si>
  <si>
    <t xml:space="preserve">Standard Total </t>
  </si>
  <si>
    <t>Total Bill</t>
  </si>
  <si>
    <t xml:space="preserve">Total </t>
  </si>
  <si>
    <t>(Fill in table from bills)</t>
  </si>
  <si>
    <t>(kWh)</t>
  </si>
  <si>
    <t>(R/kWh)</t>
  </si>
  <si>
    <t>(R)</t>
  </si>
  <si>
    <t>(kVA)</t>
  </si>
  <si>
    <t>AVERAGE PER MONTH</t>
  </si>
  <si>
    <t>Consumption &lt;200kL</t>
  </si>
  <si>
    <t>Consumption Charge &lt;200kL</t>
  </si>
  <si>
    <t>Total &lt;200kL</t>
  </si>
  <si>
    <t>Consumption &gt;200kL</t>
  </si>
  <si>
    <t>Consumption Charge &gt;200kL</t>
  </si>
  <si>
    <t>Total &gt;200kL</t>
  </si>
  <si>
    <t>Sewer Charge</t>
  </si>
  <si>
    <t>Sewer Total</t>
  </si>
  <si>
    <t>Demand Management</t>
  </si>
  <si>
    <t>Sundry</t>
  </si>
  <si>
    <t>Refuse</t>
  </si>
  <si>
    <t>(kL)</t>
  </si>
  <si>
    <t>(R/kL)</t>
  </si>
  <si>
    <t xml:space="preserve">(R) </t>
  </si>
  <si>
    <t>Date</t>
  </si>
  <si>
    <t>kWh</t>
  </si>
  <si>
    <t>kWh - HolmStone</t>
  </si>
  <si>
    <t>kVArh</t>
  </si>
  <si>
    <t>kVArh - HolmStone</t>
  </si>
  <si>
    <t>kVA</t>
  </si>
  <si>
    <t>kVA - HolmStone</t>
  </si>
  <si>
    <t>Difference</t>
  </si>
  <si>
    <t>Off-Peak Charge (Low)</t>
  </si>
  <si>
    <t xml:space="preserve">Demand </t>
  </si>
  <si>
    <t>Demand Charge Total</t>
  </si>
  <si>
    <t>Network Access Charge</t>
  </si>
  <si>
    <t>Network Access Total</t>
  </si>
  <si>
    <t>8 Field Street
COE - Bill</t>
  </si>
  <si>
    <t>Total Consumption Charges</t>
  </si>
  <si>
    <t>8 Field Street
HS - Bill</t>
  </si>
  <si>
    <t>COE - Electricity</t>
  </si>
  <si>
    <t>HolmStone - Electricity</t>
  </si>
  <si>
    <t>Water and Sewer Total</t>
  </si>
  <si>
    <t>8 Field - HS Water</t>
  </si>
  <si>
    <t>Consumption &lt;5000kL</t>
  </si>
  <si>
    <t>Consumption Charge &lt;5000kL</t>
  </si>
  <si>
    <t>Consumption &gt;5000kL</t>
  </si>
  <si>
    <t>Consumption Charge &gt;5000kL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</si>
</sst>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000"/>
    <numFmt numFmtId="165" formatCode="_-&quot;R&quot;* #,##0.0000_-;\-&quot;R&quot;* #,##0.0000_-;_-&quot;R&quot;* &quot;-&quot;??_-;_-@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8">
    <xf numFmtId="0" fontId="0" fillId="0" borderId="0" xfId="0"/>
    <xf numFmtId="0" fontId="0" fillId="0" borderId="10" xfId="0" applyBorder="1"/>
    <xf numFmtId="22" fontId="0" fillId="0" borderId="10" xfId="0" applyNumberFormat="1" applyBorder="1"/>
    <xf numFmtId="44" fontId="0" fillId="0" borderId="10" xfId="1" applyFont="1" applyBorder="1"/>
    <xf numFmtId="0" fontId="16" fillId="0" borderId="10" xfId="0" applyFont="1" applyBorder="1"/>
    <xf numFmtId="44" fontId="16" fillId="0" borderId="10" xfId="1" applyFont="1" applyBorder="1"/>
    <xf numFmtId="17" fontId="16" fillId="0" borderId="10" xfId="0" applyNumberFormat="1" applyFont="1" applyBorder="1"/>
    <xf numFmtId="0" fontId="16" fillId="33" borderId="10" xfId="0" applyFont="1" applyFill="1" applyBorder="1"/>
    <xf numFmtId="1" fontId="0" fillId="0" borderId="10" xfId="0" applyNumberFormat="1" applyBorder="1"/>
    <xf numFmtId="44" fontId="0" fillId="0" borderId="10" xfId="0" applyNumberFormat="1" applyBorder="1"/>
    <xf numFmtId="44" fontId="16" fillId="0" borderId="10" xfId="43" applyFont="1" applyBorder="1"/>
    <xf numFmtId="44" fontId="16" fillId="0" borderId="10" xfId="0" applyNumberFormat="1" applyFont="1" applyBorder="1"/>
    <xf numFmtId="44" fontId="0" fillId="0" borderId="0" xfId="1" applyFont="1"/>
    <xf numFmtId="44" fontId="0" fillId="0" borderId="0" xfId="0" applyNumberFormat="1"/>
    <xf numFmtId="43" fontId="0" fillId="0" borderId="0" xfId="44" applyFont="1"/>
    <xf numFmtId="0" fontId="0" fillId="0" borderId="14" xfId="0" applyBorder="1"/>
    <xf numFmtId="10" fontId="0" fillId="0" borderId="0" xfId="45" applyNumberFormat="1" applyFont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9" xfId="0" applyBorder="1"/>
    <xf numFmtId="0" fontId="0" fillId="0" borderId="31" xfId="0" applyBorder="1"/>
    <xf numFmtId="165" fontId="0" fillId="0" borderId="15" xfId="1" applyNumberFormat="1" applyFont="1" applyBorder="1"/>
    <xf numFmtId="165" fontId="0" fillId="0" borderId="32" xfId="1" applyNumberFormat="1" applyFont="1" applyBorder="1"/>
    <xf numFmtId="165" fontId="0" fillId="0" borderId="23" xfId="1" applyNumberFormat="1" applyFont="1" applyBorder="1"/>
    <xf numFmtId="165" fontId="0" fillId="0" borderId="22" xfId="1" applyNumberFormat="1" applyFont="1" applyBorder="1"/>
    <xf numFmtId="165" fontId="0" fillId="0" borderId="21" xfId="1" applyNumberFormat="1" applyFont="1" applyBorder="1"/>
    <xf numFmtId="0" fontId="0" fillId="0" borderId="20" xfId="0" applyBorder="1" applyAlignment="1">
      <alignment horizontal="center"/>
    </xf>
    <xf numFmtId="0" fontId="0" fillId="0" borderId="40" xfId="0" applyBorder="1"/>
    <xf numFmtId="0" fontId="16" fillId="0" borderId="15" xfId="0" applyFont="1" applyBorder="1"/>
    <xf numFmtId="0" fontId="16" fillId="0" borderId="16" xfId="0" applyFont="1" applyBorder="1"/>
    <xf numFmtId="0" fontId="16" fillId="0" borderId="20" xfId="0" applyFont="1" applyBorder="1"/>
    <xf numFmtId="0" fontId="16" fillId="0" borderId="30" xfId="0" applyFont="1" applyBorder="1"/>
    <xf numFmtId="0" fontId="16" fillId="0" borderId="37" xfId="0" applyFont="1" applyBorder="1"/>
    <xf numFmtId="0" fontId="16" fillId="0" borderId="28" xfId="0" applyFont="1" applyBorder="1"/>
    <xf numFmtId="0" fontId="16" fillId="36" borderId="30" xfId="0" applyFont="1" applyFill="1" applyBorder="1"/>
    <xf numFmtId="0" fontId="16" fillId="0" borderId="36" xfId="0" applyFont="1" applyBorder="1"/>
    <xf numFmtId="0" fontId="16" fillId="35" borderId="27" xfId="0" applyFont="1" applyFill="1" applyBorder="1"/>
    <xf numFmtId="0" fontId="16" fillId="33" borderId="28" xfId="0" applyFont="1" applyFill="1" applyBorder="1"/>
    <xf numFmtId="0" fontId="16" fillId="36" borderId="26" xfId="0" applyFont="1" applyFill="1" applyBorder="1"/>
    <xf numFmtId="0" fontId="0" fillId="0" borderId="41" xfId="0" applyBorder="1"/>
    <xf numFmtId="0" fontId="16" fillId="0" borderId="42" xfId="0" applyFont="1" applyBorder="1"/>
    <xf numFmtId="0" fontId="16" fillId="0" borderId="43" xfId="0" applyFont="1" applyBorder="1"/>
    <xf numFmtId="0" fontId="16" fillId="0" borderId="44" xfId="0" applyFont="1" applyBorder="1"/>
    <xf numFmtId="0" fontId="0" fillId="0" borderId="45" xfId="0" applyBorder="1"/>
    <xf numFmtId="0" fontId="0" fillId="0" borderId="46" xfId="0" applyBorder="1"/>
    <xf numFmtId="0" fontId="16" fillId="0" borderId="32" xfId="0" applyFont="1" applyBorder="1"/>
    <xf numFmtId="164" fontId="17" fillId="0" borderId="0" xfId="0" applyNumberFormat="1" applyFont="1"/>
    <xf numFmtId="0" fontId="0" fillId="35" borderId="0" xfId="0" applyFill="1"/>
    <xf numFmtId="2" fontId="0" fillId="0" borderId="10" xfId="0" applyNumberFormat="1" applyBorder="1"/>
    <xf numFmtId="0" fontId="0" fillId="0" borderId="19" xfId="0" applyBorder="1" applyAlignment="1">
      <alignment horizontal="center"/>
    </xf>
    <xf numFmtId="0" fontId="16" fillId="39" borderId="20" xfId="0" applyFont="1" applyFill="1" applyBorder="1" applyAlignment="1">
      <alignment horizontal="center" vertical="center"/>
    </xf>
    <xf numFmtId="0" fontId="0" fillId="40" borderId="30" xfId="0" applyFill="1" applyBorder="1" applyAlignment="1">
      <alignment horizontal="center"/>
    </xf>
    <xf numFmtId="0" fontId="0" fillId="40" borderId="47" xfId="0" applyFill="1" applyBorder="1" applyAlignment="1">
      <alignment horizontal="center"/>
    </xf>
    <xf numFmtId="0" fontId="0" fillId="40" borderId="48" xfId="0" applyFill="1" applyBorder="1" applyAlignment="1">
      <alignment horizontal="center"/>
    </xf>
    <xf numFmtId="1" fontId="22" fillId="5" borderId="49" xfId="10" applyNumberFormat="1" applyFont="1" applyBorder="1" applyAlignment="1">
      <alignment horizontal="center" vertical="center"/>
    </xf>
    <xf numFmtId="1" fontId="22" fillId="5" borderId="50" xfId="10" applyNumberFormat="1" applyFont="1" applyBorder="1" applyAlignment="1">
      <alignment horizontal="center" vertical="center"/>
    </xf>
    <xf numFmtId="1" fontId="22" fillId="5" borderId="31" xfId="10" applyNumberFormat="1" applyFont="1" applyBorder="1" applyAlignment="1">
      <alignment horizontal="center" vertical="center"/>
    </xf>
    <xf numFmtId="1" fontId="22" fillId="5" borderId="32" xfId="10" applyNumberFormat="1" applyFont="1" applyBorder="1" applyAlignment="1">
      <alignment horizontal="center" vertical="center"/>
    </xf>
    <xf numFmtId="1" fontId="22" fillId="5" borderId="47" xfId="10" applyNumberFormat="1" applyFont="1" applyBorder="1" applyAlignment="1">
      <alignment horizontal="center" vertical="center"/>
    </xf>
    <xf numFmtId="0" fontId="23" fillId="39" borderId="37" xfId="0" applyFont="1" applyFill="1" applyBorder="1" applyAlignment="1">
      <alignment horizontal="center" vertical="center"/>
    </xf>
    <xf numFmtId="0" fontId="0" fillId="41" borderId="52" xfId="0" applyFill="1" applyBorder="1" applyAlignment="1">
      <alignment horizontal="center"/>
    </xf>
    <xf numFmtId="0" fontId="0" fillId="41" borderId="53" xfId="0" applyFill="1" applyBorder="1" applyAlignment="1">
      <alignment horizontal="center"/>
    </xf>
    <xf numFmtId="0" fontId="0" fillId="41" borderId="28" xfId="0" applyFill="1" applyBorder="1" applyAlignment="1">
      <alignment horizontal="center"/>
    </xf>
    <xf numFmtId="0" fontId="0" fillId="41" borderId="54" xfId="0" applyFill="1" applyBorder="1" applyAlignment="1">
      <alignment horizontal="center"/>
    </xf>
    <xf numFmtId="0" fontId="0" fillId="41" borderId="29" xfId="0" applyFill="1" applyBorder="1" applyAlignment="1">
      <alignment horizontal="center"/>
    </xf>
    <xf numFmtId="0" fontId="0" fillId="41" borderId="55" xfId="0" applyFill="1" applyBorder="1" applyAlignment="1">
      <alignment horizontal="center"/>
    </xf>
    <xf numFmtId="0" fontId="0" fillId="41" borderId="23" xfId="0" applyFill="1" applyBorder="1" applyAlignment="1">
      <alignment horizontal="center"/>
    </xf>
    <xf numFmtId="17" fontId="24" fillId="0" borderId="22" xfId="0" applyNumberFormat="1" applyFont="1" applyBorder="1" applyAlignment="1">
      <alignment horizontal="center"/>
    </xf>
    <xf numFmtId="0" fontId="0" fillId="0" borderId="56" xfId="0" applyBorder="1" applyAlignment="1">
      <alignment horizontal="center"/>
    </xf>
    <xf numFmtId="44" fontId="0" fillId="0" borderId="57" xfId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16" fillId="41" borderId="60" xfId="0" applyFont="1" applyFill="1" applyBorder="1" applyAlignment="1">
      <alignment horizontal="center"/>
    </xf>
    <xf numFmtId="1" fontId="0" fillId="41" borderId="16" xfId="0" applyNumberFormat="1" applyFill="1" applyBorder="1" applyAlignment="1">
      <alignment horizontal="center"/>
    </xf>
    <xf numFmtId="165" fontId="0" fillId="41" borderId="61" xfId="1" applyNumberFormat="1" applyFont="1" applyFill="1" applyBorder="1" applyAlignment="1">
      <alignment horizontal="center"/>
    </xf>
    <xf numFmtId="1" fontId="0" fillId="41" borderId="61" xfId="1" applyNumberFormat="1" applyFont="1" applyFill="1" applyBorder="1" applyAlignment="1">
      <alignment horizontal="center"/>
    </xf>
    <xf numFmtId="44" fontId="0" fillId="41" borderId="62" xfId="1" applyFont="1" applyFill="1" applyBorder="1" applyAlignment="1">
      <alignment horizontal="center"/>
    </xf>
    <xf numFmtId="0" fontId="0" fillId="41" borderId="61" xfId="1" applyNumberFormat="1" applyFont="1" applyFill="1" applyBorder="1" applyAlignment="1">
      <alignment horizontal="center"/>
    </xf>
    <xf numFmtId="44" fontId="0" fillId="41" borderId="34" xfId="1" applyFont="1" applyFill="1" applyBorder="1" applyAlignment="1">
      <alignment horizontal="center"/>
    </xf>
    <xf numFmtId="44" fontId="0" fillId="41" borderId="61" xfId="1" applyFont="1" applyFill="1" applyBorder="1" applyAlignment="1">
      <alignment horizontal="center"/>
    </xf>
    <xf numFmtId="44" fontId="0" fillId="41" borderId="16" xfId="1" applyFont="1" applyFill="1" applyBorder="1" applyAlignment="1">
      <alignment horizontal="center"/>
    </xf>
    <xf numFmtId="0" fontId="16" fillId="39" borderId="38" xfId="0" applyFont="1" applyFill="1" applyBorder="1" applyAlignment="1">
      <alignment horizontal="center" vertical="center"/>
    </xf>
    <xf numFmtId="0" fontId="0" fillId="40" borderId="24" xfId="0" applyFill="1" applyBorder="1" applyAlignment="1">
      <alignment horizontal="center"/>
    </xf>
    <xf numFmtId="0" fontId="0" fillId="40" borderId="25" xfId="0" applyFill="1" applyBorder="1" applyAlignment="1">
      <alignment horizontal="center"/>
    </xf>
    <xf numFmtId="1" fontId="22" fillId="5" borderId="20" xfId="10" applyNumberFormat="1" applyFont="1" applyBorder="1" applyAlignment="1">
      <alignment horizontal="center" vertical="center"/>
    </xf>
    <xf numFmtId="0" fontId="0" fillId="38" borderId="20" xfId="0" applyFill="1" applyBorder="1" applyAlignment="1">
      <alignment horizontal="center"/>
    </xf>
    <xf numFmtId="0" fontId="23" fillId="39" borderId="60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17" fontId="24" fillId="0" borderId="41" xfId="0" applyNumberFormat="1" applyFont="1" applyBorder="1" applyAlignment="1">
      <alignment horizontal="center"/>
    </xf>
    <xf numFmtId="44" fontId="0" fillId="0" borderId="11" xfId="1" applyFont="1" applyBorder="1"/>
    <xf numFmtId="44" fontId="0" fillId="0" borderId="21" xfId="1" applyFont="1" applyBorder="1"/>
    <xf numFmtId="0" fontId="0" fillId="0" borderId="27" xfId="1" applyNumberFormat="1" applyFont="1" applyBorder="1"/>
    <xf numFmtId="44" fontId="0" fillId="0" borderId="22" xfId="1" applyFont="1" applyBorder="1"/>
    <xf numFmtId="44" fontId="0" fillId="0" borderId="22" xfId="0" applyNumberFormat="1" applyBorder="1"/>
    <xf numFmtId="44" fontId="0" fillId="0" borderId="41" xfId="0" applyNumberFormat="1" applyBorder="1"/>
    <xf numFmtId="44" fontId="0" fillId="0" borderId="45" xfId="0" applyNumberFormat="1" applyBorder="1"/>
    <xf numFmtId="0" fontId="1" fillId="0" borderId="27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44" fontId="0" fillId="0" borderId="42" xfId="1" applyFont="1" applyBorder="1"/>
    <xf numFmtId="17" fontId="24" fillId="0" borderId="42" xfId="0" applyNumberFormat="1" applyFont="1" applyBorder="1" applyAlignment="1">
      <alignment horizontal="center"/>
    </xf>
    <xf numFmtId="0" fontId="25" fillId="0" borderId="27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44" fontId="0" fillId="0" borderId="63" xfId="1" applyFont="1" applyBorder="1"/>
    <xf numFmtId="0" fontId="24" fillId="0" borderId="51" xfId="0" applyFont="1" applyBorder="1" applyAlignment="1">
      <alignment horizontal="center"/>
    </xf>
    <xf numFmtId="44" fontId="0" fillId="0" borderId="64" xfId="0" applyNumberFormat="1" applyBorder="1"/>
    <xf numFmtId="44" fontId="0" fillId="0" borderId="65" xfId="1" applyFont="1" applyBorder="1"/>
    <xf numFmtId="165" fontId="0" fillId="41" borderId="17" xfId="1" applyNumberFormat="1" applyFont="1" applyFill="1" applyBorder="1" applyAlignment="1">
      <alignment horizontal="center"/>
    </xf>
    <xf numFmtId="44" fontId="0" fillId="41" borderId="15" xfId="1" applyFont="1" applyFill="1" applyBorder="1" applyAlignment="1">
      <alignment horizontal="center"/>
    </xf>
    <xf numFmtId="1" fontId="0" fillId="41" borderId="35" xfId="0" applyNumberFormat="1" applyFill="1" applyBorder="1" applyAlignment="1">
      <alignment horizontal="center"/>
    </xf>
    <xf numFmtId="44" fontId="0" fillId="41" borderId="35" xfId="1" applyFont="1" applyFill="1" applyBorder="1" applyAlignment="1">
      <alignment horizontal="center"/>
    </xf>
    <xf numFmtId="0" fontId="0" fillId="0" borderId="19" xfId="0" applyBorder="1"/>
    <xf numFmtId="0" fontId="26" fillId="0" borderId="35" xfId="0" applyFon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62" xfId="0" applyFont="1" applyBorder="1" applyAlignment="1">
      <alignment horizontal="center"/>
    </xf>
    <xf numFmtId="43" fontId="0" fillId="0" borderId="26" xfId="0" applyNumberFormat="1" applyBorder="1" applyAlignment="1">
      <alignment horizontal="center"/>
    </xf>
    <xf numFmtId="43" fontId="0" fillId="0" borderId="66" xfId="0" applyNumberFormat="1" applyBorder="1" applyAlignment="1">
      <alignment horizontal="center"/>
    </xf>
    <xf numFmtId="43" fontId="0" fillId="0" borderId="27" xfId="0" applyNumberFormat="1" applyBorder="1" applyAlignment="1">
      <alignment horizontal="center"/>
    </xf>
    <xf numFmtId="43" fontId="0" fillId="0" borderId="59" xfId="0" applyNumberFormat="1" applyBorder="1" applyAlignment="1">
      <alignment horizontal="center"/>
    </xf>
    <xf numFmtId="17" fontId="24" fillId="0" borderId="43" xfId="0" applyNumberFormat="1" applyFont="1" applyBorder="1" applyAlignment="1">
      <alignment horizontal="center"/>
    </xf>
    <xf numFmtId="43" fontId="0" fillId="0" borderId="28" xfId="0" applyNumberFormat="1" applyBorder="1" applyAlignment="1">
      <alignment horizontal="center"/>
    </xf>
    <xf numFmtId="43" fontId="0" fillId="0" borderId="53" xfId="0" applyNumberFormat="1" applyBorder="1" applyAlignment="1">
      <alignment horizontal="center"/>
    </xf>
    <xf numFmtId="0" fontId="21" fillId="0" borderId="35" xfId="0" applyFont="1" applyBorder="1"/>
    <xf numFmtId="43" fontId="0" fillId="0" borderId="35" xfId="0" applyNumberFormat="1" applyBorder="1"/>
    <xf numFmtId="43" fontId="0" fillId="0" borderId="19" xfId="0" applyNumberFormat="1" applyBorder="1"/>
    <xf numFmtId="0" fontId="0" fillId="0" borderId="35" xfId="0" applyBorder="1"/>
    <xf numFmtId="43" fontId="21" fillId="33" borderId="19" xfId="0" applyNumberFormat="1" applyFont="1" applyFill="1" applyBorder="1"/>
    <xf numFmtId="43" fontId="0" fillId="36" borderId="19" xfId="0" applyNumberFormat="1" applyFill="1" applyBorder="1"/>
    <xf numFmtId="165" fontId="0" fillId="0" borderId="18" xfId="1" applyNumberFormat="1" applyFont="1" applyBorder="1" applyAlignment="1">
      <alignment horizontal="center"/>
    </xf>
    <xf numFmtId="0" fontId="0" fillId="0" borderId="18" xfId="1" applyNumberFormat="1" applyFont="1" applyBorder="1" applyAlignment="1">
      <alignment horizontal="center"/>
    </xf>
    <xf numFmtId="44" fontId="0" fillId="0" borderId="66" xfId="1" applyFont="1" applyBorder="1" applyAlignment="1">
      <alignment horizontal="center"/>
    </xf>
    <xf numFmtId="44" fontId="0" fillId="0" borderId="56" xfId="1" applyFont="1" applyBorder="1" applyAlignment="1">
      <alignment horizontal="center"/>
    </xf>
    <xf numFmtId="0" fontId="0" fillId="41" borderId="43" xfId="0" applyFill="1" applyBorder="1" applyAlignment="1">
      <alignment horizontal="center"/>
    </xf>
    <xf numFmtId="0" fontId="0" fillId="41" borderId="46" xfId="0" applyFill="1" applyBorder="1" applyAlignment="1">
      <alignment horizontal="center"/>
    </xf>
    <xf numFmtId="44" fontId="0" fillId="0" borderId="26" xfId="1" applyFont="1" applyBorder="1" applyAlignment="1">
      <alignment horizontal="center"/>
    </xf>
    <xf numFmtId="44" fontId="0" fillId="0" borderId="44" xfId="1" applyFont="1" applyBorder="1" applyAlignment="1">
      <alignment horizontal="center"/>
    </xf>
    <xf numFmtId="44" fontId="0" fillId="0" borderId="68" xfId="1" applyFont="1" applyBorder="1" applyAlignment="1">
      <alignment horizontal="center"/>
    </xf>
    <xf numFmtId="44" fontId="0" fillId="0" borderId="56" xfId="0" applyNumberFormat="1" applyBorder="1" applyAlignment="1">
      <alignment horizontal="center"/>
    </xf>
    <xf numFmtId="44" fontId="0" fillId="41" borderId="67" xfId="1" applyFont="1" applyFill="1" applyBorder="1" applyAlignment="1">
      <alignment horizontal="center"/>
    </xf>
    <xf numFmtId="44" fontId="0" fillId="0" borderId="21" xfId="0" applyNumberFormat="1" applyBorder="1" applyAlignment="1">
      <alignment horizontal="center"/>
    </xf>
    <xf numFmtId="44" fontId="0" fillId="0" borderId="21" xfId="1" applyFont="1" applyBorder="1" applyAlignment="1">
      <alignment horizontal="center" vertical="center"/>
    </xf>
    <xf numFmtId="44" fontId="0" fillId="0" borderId="37" xfId="1" applyFont="1" applyBorder="1" applyAlignment="1">
      <alignment horizontal="center" vertical="center"/>
    </xf>
    <xf numFmtId="1" fontId="22" fillId="42" borderId="32" xfId="10" applyNumberFormat="1" applyFont="1" applyFill="1" applyBorder="1" applyAlignment="1">
      <alignment horizontal="center" vertical="center"/>
    </xf>
    <xf numFmtId="0" fontId="0" fillId="0" borderId="21" xfId="1" applyNumberFormat="1" applyFont="1" applyBorder="1" applyAlignment="1">
      <alignment horizontal="center" vertical="center"/>
    </xf>
    <xf numFmtId="0" fontId="0" fillId="0" borderId="37" xfId="1" applyNumberFormat="1" applyFont="1" applyBorder="1" applyAlignment="1">
      <alignment horizontal="center" vertical="center"/>
    </xf>
    <xf numFmtId="44" fontId="0" fillId="0" borderId="18" xfId="1" applyFont="1" applyBorder="1" applyAlignment="1">
      <alignment horizontal="center"/>
    </xf>
    <xf numFmtId="44" fontId="0" fillId="41" borderId="17" xfId="1" applyFont="1" applyFill="1" applyBorder="1" applyAlignment="1">
      <alignment horizontal="center"/>
    </xf>
    <xf numFmtId="1" fontId="22" fillId="42" borderId="30" xfId="10" applyNumberFormat="1" applyFont="1" applyFill="1" applyBorder="1" applyAlignment="1">
      <alignment horizontal="center" vertical="center"/>
    </xf>
    <xf numFmtId="1" fontId="22" fillId="42" borderId="47" xfId="10" applyNumberFormat="1" applyFont="1" applyFill="1" applyBorder="1" applyAlignment="1">
      <alignment horizontal="center" vertical="center"/>
    </xf>
    <xf numFmtId="44" fontId="0" fillId="41" borderId="19" xfId="1" applyFont="1" applyFill="1" applyBorder="1" applyAlignment="1">
      <alignment horizontal="center"/>
    </xf>
    <xf numFmtId="1" fontId="22" fillId="43" borderId="50" xfId="10" applyNumberFormat="1" applyFont="1" applyFill="1" applyBorder="1" applyAlignment="1">
      <alignment horizontal="center" vertical="center"/>
    </xf>
    <xf numFmtId="0" fontId="0" fillId="43" borderId="55" xfId="0" applyFill="1" applyBorder="1" applyAlignment="1">
      <alignment horizontal="center"/>
    </xf>
    <xf numFmtId="44" fontId="0" fillId="43" borderId="58" xfId="0" applyNumberFormat="1" applyFill="1" applyBorder="1" applyAlignment="1">
      <alignment horizontal="center"/>
    </xf>
    <xf numFmtId="44" fontId="0" fillId="43" borderId="34" xfId="1" applyFont="1" applyFill="1" applyBorder="1" applyAlignment="1">
      <alignment horizontal="center"/>
    </xf>
    <xf numFmtId="44" fontId="0" fillId="0" borderId="69" xfId="1" applyFont="1" applyBorder="1" applyAlignment="1">
      <alignment horizontal="center"/>
    </xf>
    <xf numFmtId="44" fontId="0" fillId="0" borderId="70" xfId="1" applyFont="1" applyBorder="1" applyAlignment="1">
      <alignment horizontal="center"/>
    </xf>
    <xf numFmtId="17" fontId="24" fillId="0" borderId="65" xfId="0" applyNumberFormat="1" applyFont="1" applyBorder="1" applyAlignment="1">
      <alignment horizontal="center"/>
    </xf>
    <xf numFmtId="0" fontId="16" fillId="41" borderId="15" xfId="0" applyFont="1" applyFill="1" applyBorder="1" applyAlignment="1">
      <alignment horizontal="center"/>
    </xf>
    <xf numFmtId="0" fontId="0" fillId="0" borderId="26" xfId="1" applyNumberFormat="1" applyFont="1" applyBorder="1" applyAlignment="1">
      <alignment horizontal="center"/>
    </xf>
    <xf numFmtId="0" fontId="0" fillId="0" borderId="69" xfId="1" applyNumberFormat="1" applyFont="1" applyBorder="1" applyAlignment="1">
      <alignment horizontal="center"/>
    </xf>
    <xf numFmtId="2" fontId="0" fillId="0" borderId="18" xfId="1" applyNumberFormat="1" applyFont="1" applyBorder="1" applyAlignment="1">
      <alignment horizontal="center"/>
    </xf>
    <xf numFmtId="2" fontId="0" fillId="0" borderId="26" xfId="1" applyNumberFormat="1" applyFont="1" applyBorder="1" applyAlignment="1">
      <alignment horizontal="center"/>
    </xf>
    <xf numFmtId="0" fontId="0" fillId="38" borderId="35" xfId="0" applyFill="1" applyBorder="1" applyAlignment="1">
      <alignment horizontal="center"/>
    </xf>
    <xf numFmtId="0" fontId="0" fillId="38" borderId="34" xfId="0" applyFill="1" applyBorder="1" applyAlignment="1">
      <alignment horizontal="center"/>
    </xf>
    <xf numFmtId="0" fontId="0" fillId="38" borderId="33" xfId="0" applyFill="1" applyBorder="1" applyAlignment="1">
      <alignment horizontal="center"/>
    </xf>
    <xf numFmtId="0" fontId="0" fillId="38" borderId="19" xfId="0" applyFill="1" applyBorder="1" applyAlignment="1">
      <alignment horizontal="center"/>
    </xf>
    <xf numFmtId="0" fontId="21" fillId="35" borderId="20" xfId="0" applyFont="1" applyFill="1" applyBorder="1" applyAlignment="1">
      <alignment horizontal="center" vertical="center" wrapText="1"/>
    </xf>
    <xf numFmtId="0" fontId="0" fillId="35" borderId="36" xfId="0" applyFill="1" applyBorder="1" applyAlignment="1">
      <alignment horizontal="center" vertical="center" wrapText="1"/>
    </xf>
    <xf numFmtId="0" fontId="0" fillId="35" borderId="37" xfId="0" applyFill="1" applyBorder="1" applyAlignment="1">
      <alignment horizontal="center" vertical="center" wrapText="1"/>
    </xf>
    <xf numFmtId="0" fontId="16" fillId="38" borderId="35" xfId="0" applyFont="1" applyFill="1" applyBorder="1" applyAlignment="1">
      <alignment horizontal="center"/>
    </xf>
    <xf numFmtId="0" fontId="16" fillId="38" borderId="34" xfId="0" applyFont="1" applyFill="1" applyBorder="1" applyAlignment="1">
      <alignment horizontal="center"/>
    </xf>
    <xf numFmtId="0" fontId="16" fillId="38" borderId="19" xfId="0" applyFont="1" applyFill="1" applyBorder="1" applyAlignment="1">
      <alignment horizontal="center"/>
    </xf>
    <xf numFmtId="0" fontId="16" fillId="0" borderId="11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6" fillId="0" borderId="13" xfId="0" applyFont="1" applyBorder="1" applyAlignment="1">
      <alignment horizontal="right"/>
    </xf>
    <xf numFmtId="17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" fontId="18" fillId="34" borderId="10" xfId="0" applyNumberFormat="1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7" fontId="18" fillId="34" borderId="11" xfId="0" applyNumberFormat="1" applyFont="1" applyFill="1" applyBorder="1" applyAlignment="1">
      <alignment horizontal="center"/>
    </xf>
    <xf numFmtId="17" fontId="18" fillId="34" borderId="12" xfId="0" applyNumberFormat="1" applyFont="1" applyFill="1" applyBorder="1" applyAlignment="1">
      <alignment horizontal="center"/>
    </xf>
    <xf numFmtId="17" fontId="18" fillId="34" borderId="13" xfId="0" applyNumberFormat="1" applyFont="1" applyFill="1" applyBorder="1" applyAlignment="1">
      <alignment horizontal="center"/>
    </xf>
    <xf numFmtId="14" fontId="19" fillId="35" borderId="11" xfId="0" applyNumberFormat="1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9" xfId="0" applyBorder="1" applyAlignment="1">
      <alignment horizontal="center"/>
    </xf>
    <xf numFmtId="0" fontId="16" fillId="33" borderId="38" xfId="0" applyFont="1" applyFill="1" applyBorder="1" applyAlignment="1">
      <alignment horizontal="center"/>
    </xf>
    <xf numFmtId="0" fontId="16" fillId="33" borderId="33" xfId="0" applyFont="1" applyFill="1" applyBorder="1" applyAlignment="1">
      <alignment horizontal="center"/>
    </xf>
    <xf numFmtId="0" fontId="16" fillId="33" borderId="39" xfId="0" applyFont="1" applyFill="1" applyBorder="1" applyAlignment="1">
      <alignment horizontal="center"/>
    </xf>
    <xf numFmtId="0" fontId="16" fillId="37" borderId="35" xfId="0" applyFont="1" applyFill="1" applyBorder="1" applyAlignment="1">
      <alignment horizontal="center"/>
    </xf>
    <xf numFmtId="0" fontId="16" fillId="37" borderId="34" xfId="0" applyFont="1" applyFill="1" applyBorder="1" applyAlignment="1">
      <alignment horizontal="center"/>
    </xf>
    <xf numFmtId="0" fontId="16" fillId="37" borderId="19" xfId="0" applyFont="1" applyFill="1" applyBorder="1" applyAlignment="1">
      <alignment horizontal="center"/>
    </xf>
    <xf numFmtId="0" fontId="0" fillId="0" borderId="71" xfId="0" applyFill="1" applyBorder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Currency" xfId="1" builtinId="4"/>
    <cellStyle name="Currency 2" xfId="43" xr:uid="{36266F22-4709-41AD-9831-7AAEA354BEAD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5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A320B-D68E-42D9-8CAA-18B1B3F2C116}">
  <dimension ref="A1:T22"/>
  <sheetViews>
    <sheetView zoomScale="64" workbookViewId="0">
      <selection activeCell="T2" sqref="T2"/>
    </sheetView>
  </sheetViews>
  <sheetFormatPr defaultRowHeight="14.5" x14ac:dyDescent="0.35"/>
  <cols>
    <col min="1" max="1" width="43" bestFit="1" customWidth="1"/>
    <col min="2" max="2" width="10.08984375" bestFit="1" customWidth="1"/>
    <col min="3" max="3" width="6.08984375" bestFit="1" customWidth="1"/>
    <col min="4" max="4" width="9.36328125" bestFit="1" customWidth="1"/>
    <col min="5" max="5" width="13.6328125" bestFit="1" customWidth="1"/>
    <col min="6" max="6" width="15.08984375" bestFit="1" customWidth="1"/>
    <col min="9" max="10" width="12.08984375" bestFit="1" customWidth="1"/>
    <col min="19" max="19" width="11.7265625" bestFit="1" customWidth="1"/>
    <col min="20" max="20" width="11.81640625" bestFit="1" customWidth="1"/>
  </cols>
  <sheetData>
    <row r="1" spans="1:20" x14ac:dyDescent="0.35">
      <c r="A1" s="4" t="str">
        <f>'Raw Billing'!O2</f>
        <v>8 Field Street Main Electrical</v>
      </c>
      <c r="F1" s="51">
        <v>1.0173954789601112</v>
      </c>
      <c r="S1" t="s">
        <v>74</v>
      </c>
      <c r="T1">
        <v>1.0385</v>
      </c>
    </row>
    <row r="2" spans="1:20" x14ac:dyDescent="0.35">
      <c r="A2" s="6" t="str">
        <f>'Raw Billing'!A116</f>
        <v>Range: From 2026-07-01 00:01 to 2026-08-01 00:00</v>
      </c>
      <c r="S2" t="s">
        <v>75</v>
      </c>
      <c r="T2" s="52">
        <v>1.0174597840842059</v>
      </c>
    </row>
    <row r="3" spans="1:20" x14ac:dyDescent="0.35">
      <c r="A3" s="4" t="str">
        <f>'Raw Billing'!O52</f>
        <v>Ekurhuleni_Tariff_E_TOU_8 Field Street</v>
      </c>
    </row>
    <row r="4" spans="1:20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20" x14ac:dyDescent="0.35">
      <c r="A5" s="1" t="s">
        <v>8</v>
      </c>
      <c r="B5" s="3">
        <f>'Raw Billing'!B119</f>
        <v>5676.25</v>
      </c>
      <c r="C5" s="1" t="s">
        <v>9</v>
      </c>
      <c r="D5" s="1">
        <f>'Raw Billing'!D119</f>
        <v>1</v>
      </c>
      <c r="E5" s="3">
        <f>D5*B5</f>
        <v>5676.25</v>
      </c>
      <c r="F5" s="1"/>
    </row>
    <row r="6" spans="1:20" x14ac:dyDescent="0.35">
      <c r="A6" s="1" t="s">
        <v>10</v>
      </c>
      <c r="B6" s="3">
        <f>'Raw Billing'!B120</f>
        <v>112.25</v>
      </c>
      <c r="C6" s="1" t="s">
        <v>11</v>
      </c>
      <c r="D6" s="53">
        <f>'Raw Billing'!D120*$T$1</f>
        <v>628.48638794999999</v>
      </c>
      <c r="E6" s="3">
        <f>D6*B6</f>
        <v>70547.597047387506</v>
      </c>
      <c r="F6" s="2">
        <f>'Raw Billing'!F120</f>
        <v>46218.916666666664</v>
      </c>
    </row>
    <row r="7" spans="1:20" x14ac:dyDescent="0.35">
      <c r="A7" s="1" t="s">
        <v>12</v>
      </c>
      <c r="B7" s="3">
        <f>'Raw Billing'!B121</f>
        <v>159.25</v>
      </c>
      <c r="C7" s="1" t="s">
        <v>11</v>
      </c>
      <c r="D7" s="53">
        <f>'Raw Billing'!D121*$T$1</f>
        <v>628.48638794999999</v>
      </c>
      <c r="E7" s="3">
        <f t="shared" ref="E7:E13" si="0">D7*B7</f>
        <v>100086.4572810375</v>
      </c>
      <c r="F7" s="2">
        <f>F6</f>
        <v>46218.916666666664</v>
      </c>
    </row>
    <row r="8" spans="1:20" x14ac:dyDescent="0.35">
      <c r="A8" s="1" t="s">
        <v>13</v>
      </c>
      <c r="B8" s="3">
        <f>'Raw Billing'!B122</f>
        <v>11.4354</v>
      </c>
      <c r="C8" s="1" t="s">
        <v>14</v>
      </c>
      <c r="D8" s="53">
        <f>'Raw Billing'!D122*$T$2</f>
        <v>54891.823081570983</v>
      </c>
      <c r="E8" s="3">
        <f t="shared" si="0"/>
        <v>627709.95366699679</v>
      </c>
      <c r="F8" s="1"/>
    </row>
    <row r="9" spans="1:20" x14ac:dyDescent="0.35">
      <c r="A9" s="1" t="s">
        <v>15</v>
      </c>
      <c r="B9" s="3">
        <f>'Raw Billing'!B123</f>
        <v>3.7227000000000001</v>
      </c>
      <c r="C9" s="1" t="s">
        <v>14</v>
      </c>
      <c r="D9" s="53">
        <f>'Raw Billing'!D123*$T$2</f>
        <v>0</v>
      </c>
      <c r="E9" s="3">
        <f t="shared" si="0"/>
        <v>0</v>
      </c>
      <c r="F9" s="1"/>
    </row>
    <row r="10" spans="1:20" x14ac:dyDescent="0.35">
      <c r="A10" s="1" t="s">
        <v>16</v>
      </c>
      <c r="B10" s="3">
        <f>'Raw Billing'!B124</f>
        <v>3.3142</v>
      </c>
      <c r="C10" s="1" t="s">
        <v>14</v>
      </c>
      <c r="D10" s="53">
        <f>'Raw Billing'!D124*$T$2</f>
        <v>117534.54287771918</v>
      </c>
      <c r="E10" s="3">
        <f t="shared" si="0"/>
        <v>389532.9820053369</v>
      </c>
      <c r="F10" s="1"/>
      <c r="J10" s="12"/>
    </row>
    <row r="11" spans="1:20" x14ac:dyDescent="0.35">
      <c r="A11" s="1" t="s">
        <v>17</v>
      </c>
      <c r="B11" s="3">
        <f>'Raw Billing'!B125</f>
        <v>2.4323999999999999</v>
      </c>
      <c r="C11" s="1" t="s">
        <v>14</v>
      </c>
      <c r="D11" s="53">
        <f>'Raw Billing'!D125*$T$2</f>
        <v>0</v>
      </c>
      <c r="E11" s="3">
        <f t="shared" si="0"/>
        <v>0</v>
      </c>
      <c r="F11" s="1"/>
      <c r="J11" s="12"/>
    </row>
    <row r="12" spans="1:20" x14ac:dyDescent="0.35">
      <c r="A12" s="1" t="s">
        <v>18</v>
      </c>
      <c r="B12" s="3">
        <f>'Raw Billing'!B126</f>
        <v>2.0286</v>
      </c>
      <c r="C12" s="1" t="s">
        <v>14</v>
      </c>
      <c r="D12" s="53">
        <f>'Raw Billing'!D126*$T$2</f>
        <v>140252.84279365416</v>
      </c>
      <c r="E12" s="3">
        <f t="shared" si="0"/>
        <v>284516.91689120681</v>
      </c>
      <c r="F12" s="1"/>
      <c r="J12" s="12"/>
    </row>
    <row r="13" spans="1:20" x14ac:dyDescent="0.35">
      <c r="A13" s="1" t="s">
        <v>19</v>
      </c>
      <c r="B13" s="3">
        <f>'Raw Billing'!B127</f>
        <v>1.8451</v>
      </c>
      <c r="C13" s="1" t="s">
        <v>14</v>
      </c>
      <c r="D13" s="1">
        <f>'Raw Billing'!D127*$T$2</f>
        <v>0</v>
      </c>
      <c r="E13" s="3">
        <f t="shared" si="0"/>
        <v>0</v>
      </c>
      <c r="F13" s="1"/>
    </row>
    <row r="14" spans="1:20" x14ac:dyDescent="0.35">
      <c r="A14" s="4" t="s">
        <v>20</v>
      </c>
      <c r="B14" s="4"/>
      <c r="C14" s="4"/>
      <c r="D14" s="4"/>
      <c r="E14" s="5">
        <f>SUM(E5:E13)</f>
        <v>1478070.1568919655</v>
      </c>
      <c r="F14" s="1"/>
      <c r="I14" s="14"/>
      <c r="J14" s="13"/>
    </row>
    <row r="15" spans="1:20" x14ac:dyDescent="0.35">
      <c r="I15" s="14"/>
      <c r="J15" s="13"/>
    </row>
    <row r="17" spans="1:5" x14ac:dyDescent="0.35">
      <c r="A17" s="7" t="s">
        <v>26</v>
      </c>
      <c r="B17" s="7" t="s">
        <v>3</v>
      </c>
      <c r="C17" s="7" t="s">
        <v>4</v>
      </c>
      <c r="D17" s="7" t="s">
        <v>5</v>
      </c>
      <c r="E17" s="7" t="s">
        <v>6</v>
      </c>
    </row>
    <row r="18" spans="1:5" x14ac:dyDescent="0.35">
      <c r="A18" s="1" t="s">
        <v>27</v>
      </c>
      <c r="B18" s="3">
        <f>'Raw Billing'!B131</f>
        <v>54.51</v>
      </c>
      <c r="C18" s="1" t="s">
        <v>28</v>
      </c>
      <c r="D18" s="53">
        <f>'Raw Billing'!D131</f>
        <v>197.61</v>
      </c>
      <c r="E18" s="9">
        <f>D18*B18</f>
        <v>10771.721100000001</v>
      </c>
    </row>
    <row r="19" spans="1:5" x14ac:dyDescent="0.35">
      <c r="A19" s="1" t="s">
        <v>29</v>
      </c>
      <c r="B19" s="3">
        <f>'Raw Billing'!B132</f>
        <v>22.07</v>
      </c>
      <c r="C19" s="1" t="s">
        <v>28</v>
      </c>
      <c r="D19" s="8">
        <f>D18</f>
        <v>197.61</v>
      </c>
      <c r="E19" s="9">
        <f>D19*B19</f>
        <v>4361.2527</v>
      </c>
    </row>
    <row r="20" spans="1:5" x14ac:dyDescent="0.35">
      <c r="A20" s="4" t="s">
        <v>30</v>
      </c>
      <c r="B20" s="1"/>
      <c r="C20" s="1"/>
      <c r="D20" s="1"/>
      <c r="E20" s="10">
        <f>SUM(E18:E19)</f>
        <v>15132.9738</v>
      </c>
    </row>
    <row r="22" spans="1:5" x14ac:dyDescent="0.35">
      <c r="A22" s="177" t="s">
        <v>31</v>
      </c>
      <c r="B22" s="178"/>
      <c r="C22" s="178"/>
      <c r="D22" s="179"/>
      <c r="E22" s="11">
        <f>E20+E14</f>
        <v>1493203.1306919656</v>
      </c>
    </row>
  </sheetData>
  <mergeCells count="1">
    <mergeCell ref="A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10750-7253-4A0F-8568-29A876E5C31E}">
  <dimension ref="A1:AC135"/>
  <sheetViews>
    <sheetView tabSelected="1" topLeftCell="G91" zoomScale="70" zoomScaleNormal="40" workbookViewId="0">
      <selection activeCell="O115" sqref="O115"/>
    </sheetView>
  </sheetViews>
  <sheetFormatPr defaultRowHeight="14.5" x14ac:dyDescent="0.35"/>
  <cols>
    <col min="1" max="1" width="45.36328125" bestFit="1" customWidth="1"/>
    <col min="2" max="2" width="9.90625" bestFit="1" customWidth="1"/>
    <col min="3" max="3" width="6.36328125" bestFit="1" customWidth="1"/>
    <col min="4" max="4" width="10.90625" bestFit="1" customWidth="1"/>
    <col min="5" max="5" width="17.453125" bestFit="1" customWidth="1"/>
    <col min="6" max="6" width="17.08984375" bestFit="1" customWidth="1"/>
    <col min="8" max="8" width="42.7265625" bestFit="1" customWidth="1"/>
    <col min="9" max="9" width="10.54296875" bestFit="1" customWidth="1"/>
    <col min="10" max="10" width="6.26953125" bestFit="1" customWidth="1"/>
    <col min="11" max="11" width="10.90625" bestFit="1" customWidth="1"/>
    <col min="12" max="12" width="17.90625" bestFit="1" customWidth="1"/>
    <col min="13" max="13" width="17.08984375" bestFit="1" customWidth="1"/>
    <col min="15" max="15" width="42.90625" bestFit="1" customWidth="1"/>
    <col min="16" max="16" width="9.90625" bestFit="1" customWidth="1"/>
    <col min="17" max="17" width="6.36328125" bestFit="1" customWidth="1"/>
    <col min="18" max="18" width="10.90625" bestFit="1" customWidth="1"/>
    <col min="19" max="19" width="17.08984375" bestFit="1" customWidth="1"/>
    <col min="20" max="20" width="17.453125" bestFit="1" customWidth="1"/>
    <col min="22" max="22" width="42.7265625" bestFit="1" customWidth="1"/>
    <col min="23" max="23" width="9" bestFit="1" customWidth="1"/>
    <col min="24" max="24" width="6.26953125" bestFit="1" customWidth="1"/>
    <col min="25" max="25" width="9.90625" bestFit="1" customWidth="1"/>
    <col min="26" max="26" width="17.90625" bestFit="1" customWidth="1"/>
  </cols>
  <sheetData>
    <row r="1" spans="1:20" x14ac:dyDescent="0.35">
      <c r="A1" s="180">
        <v>45839</v>
      </c>
      <c r="B1" s="181"/>
      <c r="C1" s="181"/>
      <c r="D1" s="181"/>
      <c r="E1" s="181"/>
      <c r="F1" s="181"/>
      <c r="O1" s="180">
        <v>45870</v>
      </c>
      <c r="P1" s="181"/>
      <c r="Q1" s="181"/>
      <c r="R1" s="181"/>
      <c r="S1" s="181"/>
      <c r="T1" s="181"/>
    </row>
    <row r="2" spans="1:20" x14ac:dyDescent="0.35">
      <c r="A2" s="1" t="s">
        <v>0</v>
      </c>
      <c r="B2" s="1"/>
      <c r="C2" s="1"/>
      <c r="D2" s="1"/>
      <c r="E2" s="1"/>
      <c r="F2" s="1"/>
      <c r="O2" s="1" t="s">
        <v>0</v>
      </c>
      <c r="P2" s="1"/>
      <c r="Q2" s="1"/>
      <c r="R2" s="1"/>
      <c r="S2" s="1"/>
      <c r="T2" s="1"/>
    </row>
    <row r="3" spans="1:20" x14ac:dyDescent="0.35">
      <c r="A3" s="1" t="s">
        <v>21</v>
      </c>
      <c r="B3" s="1"/>
      <c r="C3" s="1"/>
      <c r="D3" s="1"/>
      <c r="E3" s="1"/>
      <c r="F3" s="1"/>
      <c r="O3" s="1" t="s">
        <v>23</v>
      </c>
      <c r="P3" s="1"/>
      <c r="Q3" s="1"/>
      <c r="R3" s="1"/>
      <c r="S3" s="1"/>
      <c r="T3" s="1"/>
    </row>
    <row r="4" spans="1:20" x14ac:dyDescent="0.35">
      <c r="A4" s="1" t="s">
        <v>1</v>
      </c>
      <c r="B4" s="1"/>
      <c r="C4" s="1"/>
      <c r="D4" s="1"/>
      <c r="E4" s="1"/>
      <c r="F4" s="1"/>
      <c r="O4" s="1" t="s">
        <v>1</v>
      </c>
      <c r="P4" s="1"/>
      <c r="Q4" s="1"/>
      <c r="R4" s="1"/>
      <c r="S4" s="1"/>
      <c r="T4" s="1"/>
    </row>
    <row r="5" spans="1:20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O5" s="1" t="s">
        <v>2</v>
      </c>
      <c r="P5" s="1" t="s">
        <v>3</v>
      </c>
      <c r="Q5" s="1" t="s">
        <v>4</v>
      </c>
      <c r="R5" s="1" t="s">
        <v>5</v>
      </c>
      <c r="S5" s="1" t="s">
        <v>6</v>
      </c>
      <c r="T5" s="1" t="s">
        <v>7</v>
      </c>
    </row>
    <row r="6" spans="1:20" x14ac:dyDescent="0.35">
      <c r="A6" s="1" t="s">
        <v>8</v>
      </c>
      <c r="B6" s="1">
        <v>5694.3279000000002</v>
      </c>
      <c r="C6" s="1" t="s">
        <v>9</v>
      </c>
      <c r="D6" s="1">
        <v>1</v>
      </c>
      <c r="E6" s="1">
        <v>5694.3279000000002</v>
      </c>
      <c r="F6" s="1"/>
      <c r="O6" s="1" t="s">
        <v>8</v>
      </c>
      <c r="P6" s="1">
        <v>5694.3279000000002</v>
      </c>
      <c r="Q6" s="1" t="s">
        <v>9</v>
      </c>
      <c r="R6" s="1">
        <v>1</v>
      </c>
      <c r="S6" s="1">
        <v>5694.3279000000002</v>
      </c>
      <c r="T6" s="1"/>
    </row>
    <row r="7" spans="1:20" x14ac:dyDescent="0.35">
      <c r="A7" s="1" t="s">
        <v>10</v>
      </c>
      <c r="B7" s="1">
        <v>107.5628</v>
      </c>
      <c r="C7" s="1" t="s">
        <v>11</v>
      </c>
      <c r="D7" s="1">
        <v>587.57676200000003</v>
      </c>
      <c r="E7" s="1">
        <v>63201.401735653599</v>
      </c>
      <c r="F7" s="2">
        <v>45849.291666666664</v>
      </c>
      <c r="O7" s="1" t="s">
        <v>10</v>
      </c>
      <c r="P7" s="1">
        <v>107.5628</v>
      </c>
      <c r="Q7" s="1" t="s">
        <v>11</v>
      </c>
      <c r="R7" s="1">
        <v>590.28718600000002</v>
      </c>
      <c r="S7" s="1">
        <v>63492.942530280801</v>
      </c>
      <c r="T7" s="2">
        <v>45882.875</v>
      </c>
    </row>
    <row r="8" spans="1:20" x14ac:dyDescent="0.35">
      <c r="A8" s="1" t="s">
        <v>12</v>
      </c>
      <c r="B8" s="1">
        <v>161.86080000000001</v>
      </c>
      <c r="C8" s="1" t="s">
        <v>11</v>
      </c>
      <c r="D8" s="1">
        <v>587.57676200000003</v>
      </c>
      <c r="E8" s="1">
        <v>95105.644758729599</v>
      </c>
      <c r="F8" s="2">
        <v>45849.291666666664</v>
      </c>
      <c r="O8" s="1" t="s">
        <v>12</v>
      </c>
      <c r="P8" s="1">
        <v>161.86080000000001</v>
      </c>
      <c r="Q8" s="1" t="s">
        <v>11</v>
      </c>
      <c r="R8" s="1">
        <v>590.28718600000002</v>
      </c>
      <c r="S8" s="1">
        <v>95544.356155708796</v>
      </c>
      <c r="T8" s="2">
        <v>45882.875</v>
      </c>
    </row>
    <row r="9" spans="1:20" x14ac:dyDescent="0.35">
      <c r="A9" s="1" t="s">
        <v>13</v>
      </c>
      <c r="B9" s="1">
        <v>11.4252</v>
      </c>
      <c r="C9" s="1" t="s">
        <v>14</v>
      </c>
      <c r="D9" s="1">
        <v>47510.48</v>
      </c>
      <c r="E9" s="1">
        <v>542816.73609599995</v>
      </c>
      <c r="F9" s="1"/>
      <c r="O9" s="1" t="s">
        <v>13</v>
      </c>
      <c r="P9" s="1">
        <v>11.4252</v>
      </c>
      <c r="Q9" s="1" t="s">
        <v>14</v>
      </c>
      <c r="R9" s="1">
        <v>38622.49</v>
      </c>
      <c r="S9" s="1">
        <v>441269.67274800001</v>
      </c>
      <c r="T9" s="1"/>
    </row>
    <row r="10" spans="1:20" x14ac:dyDescent="0.35">
      <c r="A10" s="1" t="s">
        <v>15</v>
      </c>
      <c r="B10" s="1">
        <v>3.7132000000000001</v>
      </c>
      <c r="C10" s="1" t="s">
        <v>14</v>
      </c>
      <c r="D10" s="1">
        <v>0</v>
      </c>
      <c r="E10" s="1">
        <v>0</v>
      </c>
      <c r="F10" s="1"/>
      <c r="O10" s="1" t="s">
        <v>15</v>
      </c>
      <c r="P10" s="1">
        <v>3.7132000000000001</v>
      </c>
      <c r="Q10" s="1" t="s">
        <v>14</v>
      </c>
      <c r="R10" s="1">
        <v>0</v>
      </c>
      <c r="S10" s="1">
        <v>0</v>
      </c>
      <c r="T10" s="1"/>
    </row>
    <row r="11" spans="1:20" x14ac:dyDescent="0.35">
      <c r="A11" s="1" t="s">
        <v>16</v>
      </c>
      <c r="B11" s="1">
        <v>3.3047</v>
      </c>
      <c r="C11" s="1" t="s">
        <v>14</v>
      </c>
      <c r="D11" s="1">
        <v>99886.55</v>
      </c>
      <c r="E11" s="1">
        <v>330095.08178499999</v>
      </c>
      <c r="F11" s="1"/>
      <c r="O11" s="1" t="s">
        <v>16</v>
      </c>
      <c r="P11" s="1">
        <v>3.3047</v>
      </c>
      <c r="Q11" s="1" t="s">
        <v>14</v>
      </c>
      <c r="R11" s="1">
        <v>84308.260000000097</v>
      </c>
      <c r="S11" s="1">
        <v>278613.50682200002</v>
      </c>
      <c r="T11" s="1"/>
    </row>
    <row r="12" spans="1:20" x14ac:dyDescent="0.35">
      <c r="A12" s="1" t="s">
        <v>17</v>
      </c>
      <c r="B12" s="1">
        <v>2.4230999999999998</v>
      </c>
      <c r="C12" s="1" t="s">
        <v>14</v>
      </c>
      <c r="D12" s="1">
        <v>0</v>
      </c>
      <c r="E12" s="1">
        <v>0</v>
      </c>
      <c r="F12" s="1"/>
      <c r="O12" s="1" t="s">
        <v>17</v>
      </c>
      <c r="P12" s="1">
        <v>2.4230999999999998</v>
      </c>
      <c r="Q12" s="1" t="s">
        <v>14</v>
      </c>
      <c r="R12" s="1">
        <v>0</v>
      </c>
      <c r="S12" s="1">
        <v>0</v>
      </c>
      <c r="T12" s="1"/>
    </row>
    <row r="13" spans="1:20" x14ac:dyDescent="0.35">
      <c r="A13" s="1" t="s">
        <v>18</v>
      </c>
      <c r="B13" s="1">
        <v>2.0192000000000001</v>
      </c>
      <c r="C13" s="1" t="s">
        <v>14</v>
      </c>
      <c r="D13" s="1">
        <v>115380.42</v>
      </c>
      <c r="E13" s="1">
        <v>232976.14406399999</v>
      </c>
      <c r="F13" s="1"/>
      <c r="O13" s="1" t="s">
        <v>18</v>
      </c>
      <c r="P13" s="1">
        <v>2.0192000000000001</v>
      </c>
      <c r="Q13" s="1" t="s">
        <v>14</v>
      </c>
      <c r="R13" s="1">
        <v>122621.9</v>
      </c>
      <c r="S13" s="1">
        <v>247598.14048</v>
      </c>
      <c r="T13" s="1"/>
    </row>
    <row r="14" spans="1:20" x14ac:dyDescent="0.35">
      <c r="A14" s="1" t="s">
        <v>19</v>
      </c>
      <c r="B14" s="1">
        <v>1.8357000000000001</v>
      </c>
      <c r="C14" s="1" t="s">
        <v>14</v>
      </c>
      <c r="D14" s="1">
        <v>0</v>
      </c>
      <c r="E14" s="1">
        <v>0</v>
      </c>
      <c r="F14" s="1"/>
      <c r="O14" s="1" t="s">
        <v>19</v>
      </c>
      <c r="P14" s="1">
        <v>1.8357000000000001</v>
      </c>
      <c r="Q14" s="1" t="s">
        <v>14</v>
      </c>
      <c r="R14" s="1">
        <v>0</v>
      </c>
      <c r="S14" s="1">
        <v>0</v>
      </c>
      <c r="T14" s="1"/>
    </row>
    <row r="15" spans="1:20" x14ac:dyDescent="0.35">
      <c r="A15" s="1" t="s">
        <v>22</v>
      </c>
      <c r="B15" s="1"/>
      <c r="C15" s="1"/>
      <c r="D15" s="1"/>
      <c r="E15" s="3">
        <v>1269889.3363393799</v>
      </c>
      <c r="F15" s="1"/>
      <c r="O15" s="1" t="s">
        <v>22</v>
      </c>
      <c r="P15" s="1"/>
      <c r="Q15" s="1"/>
      <c r="R15" s="1"/>
      <c r="S15" s="1">
        <v>1132212.9466359899</v>
      </c>
      <c r="T15" s="1"/>
    </row>
    <row r="17" spans="1:20" x14ac:dyDescent="0.35">
      <c r="A17" s="180">
        <v>45901</v>
      </c>
      <c r="B17" s="181"/>
      <c r="C17" s="181"/>
      <c r="D17" s="181"/>
      <c r="E17" s="181"/>
      <c r="F17" s="181"/>
      <c r="O17" s="180">
        <v>45931</v>
      </c>
      <c r="P17" s="181"/>
      <c r="Q17" s="181"/>
      <c r="R17" s="181"/>
      <c r="S17" s="181"/>
      <c r="T17" s="181"/>
    </row>
    <row r="18" spans="1:20" x14ac:dyDescent="0.35">
      <c r="A18" s="1" t="s">
        <v>0</v>
      </c>
      <c r="B18" s="1"/>
      <c r="C18" s="1"/>
      <c r="D18" s="1"/>
      <c r="E18" s="1"/>
      <c r="F18" s="1"/>
      <c r="O18" s="1" t="s">
        <v>0</v>
      </c>
      <c r="P18" s="1"/>
      <c r="Q18" s="1"/>
      <c r="R18" s="1"/>
      <c r="S18" s="1"/>
      <c r="T18" s="1"/>
    </row>
    <row r="19" spans="1:20" x14ac:dyDescent="0.35">
      <c r="A19" s="1" t="s">
        <v>24</v>
      </c>
      <c r="B19" s="1"/>
      <c r="C19" s="1"/>
      <c r="D19" s="1"/>
      <c r="E19" s="1"/>
      <c r="F19" s="1"/>
      <c r="O19" s="1" t="s">
        <v>25</v>
      </c>
      <c r="P19" s="1"/>
      <c r="Q19" s="1"/>
      <c r="R19" s="1"/>
      <c r="S19" s="1"/>
      <c r="T19" s="1"/>
    </row>
    <row r="20" spans="1:20" x14ac:dyDescent="0.35">
      <c r="A20" s="1" t="s">
        <v>1</v>
      </c>
      <c r="B20" s="1"/>
      <c r="C20" s="1"/>
      <c r="D20" s="1"/>
      <c r="E20" s="1"/>
      <c r="F20" s="1"/>
      <c r="O20" s="1" t="s">
        <v>1</v>
      </c>
      <c r="P20" s="1"/>
      <c r="Q20" s="1"/>
      <c r="R20" s="1"/>
      <c r="S20" s="1"/>
      <c r="T20" s="1"/>
    </row>
    <row r="21" spans="1:20" x14ac:dyDescent="0.35">
      <c r="A21" s="1" t="s">
        <v>2</v>
      </c>
      <c r="B21" s="1" t="s">
        <v>3</v>
      </c>
      <c r="C21" s="1" t="s">
        <v>4</v>
      </c>
      <c r="D21" s="1" t="s">
        <v>5</v>
      </c>
      <c r="E21" s="1" t="s">
        <v>6</v>
      </c>
      <c r="F21" s="1" t="s">
        <v>7</v>
      </c>
      <c r="O21" s="1" t="s">
        <v>2</v>
      </c>
      <c r="P21" s="1" t="s">
        <v>3</v>
      </c>
      <c r="Q21" s="1" t="s">
        <v>4</v>
      </c>
      <c r="R21" s="1" t="s">
        <v>5</v>
      </c>
      <c r="S21" s="1" t="s">
        <v>6</v>
      </c>
      <c r="T21" s="1" t="s">
        <v>7</v>
      </c>
    </row>
    <row r="22" spans="1:20" x14ac:dyDescent="0.35">
      <c r="A22" s="1" t="s">
        <v>8</v>
      </c>
      <c r="B22" s="1">
        <v>5694.3279000000002</v>
      </c>
      <c r="C22" s="1" t="s">
        <v>9</v>
      </c>
      <c r="D22" s="1">
        <v>1</v>
      </c>
      <c r="E22" s="1">
        <v>5694.3279000000002</v>
      </c>
      <c r="F22" s="1"/>
      <c r="O22" s="1" t="s">
        <v>8</v>
      </c>
      <c r="P22" s="1">
        <v>5694.3279000000002</v>
      </c>
      <c r="Q22" s="1" t="s">
        <v>9</v>
      </c>
      <c r="R22" s="1">
        <v>1</v>
      </c>
      <c r="S22" s="1">
        <v>5694.3279000000002</v>
      </c>
      <c r="T22" s="1"/>
    </row>
    <row r="23" spans="1:20" x14ac:dyDescent="0.35">
      <c r="A23" s="1" t="s">
        <v>10</v>
      </c>
      <c r="B23" s="1">
        <v>107.5628</v>
      </c>
      <c r="C23" s="1" t="s">
        <v>11</v>
      </c>
      <c r="D23" s="1">
        <v>600.92183599999998</v>
      </c>
      <c r="E23" s="1">
        <v>64636.835261300803</v>
      </c>
      <c r="F23" s="2">
        <v>45910.916666666664</v>
      </c>
      <c r="O23" s="1" t="s">
        <v>10</v>
      </c>
      <c r="P23" s="1">
        <v>107.5628</v>
      </c>
      <c r="Q23" s="1" t="s">
        <v>11</v>
      </c>
      <c r="R23" s="1">
        <v>592.43736799999999</v>
      </c>
      <c r="S23" s="1">
        <v>63724.222126710403</v>
      </c>
      <c r="T23" s="2">
        <v>45952.875</v>
      </c>
    </row>
    <row r="24" spans="1:20" x14ac:dyDescent="0.35">
      <c r="A24" s="1" t="s">
        <v>12</v>
      </c>
      <c r="B24" s="1">
        <v>161.86080000000001</v>
      </c>
      <c r="C24" s="1" t="s">
        <v>11</v>
      </c>
      <c r="D24" s="1">
        <v>600.92183599999998</v>
      </c>
      <c r="E24" s="1">
        <v>97265.689112428794</v>
      </c>
      <c r="F24" s="2">
        <v>45910.916666666664</v>
      </c>
      <c r="O24" s="1" t="s">
        <v>12</v>
      </c>
      <c r="P24" s="1">
        <v>161.86080000000001</v>
      </c>
      <c r="Q24" s="1" t="s">
        <v>11</v>
      </c>
      <c r="R24" s="1">
        <v>592.43736799999999</v>
      </c>
      <c r="S24" s="1">
        <v>95892.386334374401</v>
      </c>
      <c r="T24" s="2">
        <v>45952.875</v>
      </c>
    </row>
    <row r="25" spans="1:20" x14ac:dyDescent="0.35">
      <c r="A25" s="1" t="s">
        <v>13</v>
      </c>
      <c r="B25" s="1">
        <v>11.4252</v>
      </c>
      <c r="C25" s="1" t="s">
        <v>14</v>
      </c>
      <c r="D25" s="1">
        <v>0</v>
      </c>
      <c r="E25" s="1">
        <v>0</v>
      </c>
      <c r="F25" s="1"/>
      <c r="O25" s="1" t="s">
        <v>13</v>
      </c>
      <c r="P25" s="1">
        <v>11.4252</v>
      </c>
      <c r="Q25" s="1" t="s">
        <v>14</v>
      </c>
      <c r="R25" s="1">
        <v>0</v>
      </c>
      <c r="S25" s="1">
        <v>0</v>
      </c>
      <c r="T25" s="1"/>
    </row>
    <row r="26" spans="1:20" x14ac:dyDescent="0.35">
      <c r="A26" s="1" t="s">
        <v>15</v>
      </c>
      <c r="B26" s="1">
        <v>3.7132000000000001</v>
      </c>
      <c r="C26" s="1" t="s">
        <v>14</v>
      </c>
      <c r="D26" s="1">
        <v>46140.52</v>
      </c>
      <c r="E26" s="1">
        <v>171328.978864</v>
      </c>
      <c r="F26" s="1"/>
      <c r="O26" s="1" t="s">
        <v>15</v>
      </c>
      <c r="P26" s="1">
        <v>3.7132000000000001</v>
      </c>
      <c r="Q26" s="1" t="s">
        <v>14</v>
      </c>
      <c r="R26" s="1">
        <v>49665.88</v>
      </c>
      <c r="S26" s="1">
        <v>184419.34561600001</v>
      </c>
      <c r="T26" s="1"/>
    </row>
    <row r="27" spans="1:20" x14ac:dyDescent="0.35">
      <c r="A27" s="1" t="s">
        <v>16</v>
      </c>
      <c r="B27" s="1">
        <v>3.3047</v>
      </c>
      <c r="C27" s="1" t="s">
        <v>14</v>
      </c>
      <c r="D27" s="1">
        <v>0</v>
      </c>
      <c r="E27" s="1">
        <v>0</v>
      </c>
      <c r="F27" s="1"/>
      <c r="O27" s="1" t="s">
        <v>16</v>
      </c>
      <c r="P27" s="1">
        <v>3.3047</v>
      </c>
      <c r="Q27" s="1" t="s">
        <v>14</v>
      </c>
      <c r="R27" s="1">
        <v>0</v>
      </c>
      <c r="S27" s="1">
        <v>0</v>
      </c>
      <c r="T27" s="1"/>
    </row>
    <row r="28" spans="1:20" x14ac:dyDescent="0.35">
      <c r="A28" s="1" t="s">
        <v>17</v>
      </c>
      <c r="B28" s="1">
        <v>2.4230999999999998</v>
      </c>
      <c r="C28" s="1" t="s">
        <v>14</v>
      </c>
      <c r="D28" s="1">
        <v>107174.03</v>
      </c>
      <c r="E28" s="1">
        <v>259693.392093</v>
      </c>
      <c r="F28" s="1"/>
      <c r="O28" s="1" t="s">
        <v>17</v>
      </c>
      <c r="P28" s="1">
        <v>2.4230999999999998</v>
      </c>
      <c r="Q28" s="1" t="s">
        <v>14</v>
      </c>
      <c r="R28" s="1">
        <v>107005.79</v>
      </c>
      <c r="S28" s="1">
        <v>259285.72974899999</v>
      </c>
      <c r="T28" s="1"/>
    </row>
    <row r="29" spans="1:20" x14ac:dyDescent="0.35">
      <c r="A29" s="1" t="s">
        <v>18</v>
      </c>
      <c r="B29" s="1">
        <v>2.0192000000000001</v>
      </c>
      <c r="C29" s="1" t="s">
        <v>14</v>
      </c>
      <c r="D29" s="1">
        <v>0</v>
      </c>
      <c r="E29" s="1">
        <v>0</v>
      </c>
      <c r="F29" s="1"/>
      <c r="O29" s="1" t="s">
        <v>18</v>
      </c>
      <c r="P29" s="1">
        <v>2.0192000000000001</v>
      </c>
      <c r="Q29" s="1" t="s">
        <v>14</v>
      </c>
      <c r="R29" s="1">
        <v>0</v>
      </c>
      <c r="S29" s="1">
        <v>0</v>
      </c>
      <c r="T29" s="1"/>
    </row>
    <row r="30" spans="1:20" x14ac:dyDescent="0.35">
      <c r="A30" s="1" t="s">
        <v>19</v>
      </c>
      <c r="B30" s="1">
        <v>1.8357000000000001</v>
      </c>
      <c r="C30" s="1" t="s">
        <v>14</v>
      </c>
      <c r="D30" s="1">
        <v>147138.53</v>
      </c>
      <c r="E30" s="1">
        <v>270102.19952099997</v>
      </c>
      <c r="F30" s="1"/>
      <c r="O30" s="1" t="s">
        <v>19</v>
      </c>
      <c r="P30" s="1">
        <v>1.8357000000000001</v>
      </c>
      <c r="Q30" s="1" t="s">
        <v>14</v>
      </c>
      <c r="R30" s="1">
        <v>138035.10999999999</v>
      </c>
      <c r="S30" s="1">
        <v>253391.051427</v>
      </c>
      <c r="T30" s="1"/>
    </row>
    <row r="31" spans="1:20" x14ac:dyDescent="0.35">
      <c r="A31" s="1" t="s">
        <v>22</v>
      </c>
      <c r="B31" s="1"/>
      <c r="C31" s="1"/>
      <c r="D31" s="1"/>
      <c r="E31" s="1">
        <v>868721.42275172903</v>
      </c>
      <c r="F31" s="1"/>
      <c r="O31" s="1" t="s">
        <v>22</v>
      </c>
      <c r="P31" s="1"/>
      <c r="Q31" s="1"/>
      <c r="R31" s="1"/>
      <c r="S31" s="1">
        <v>862407.06315308495</v>
      </c>
      <c r="T31" s="1"/>
    </row>
    <row r="33" spans="1:20" x14ac:dyDescent="0.35">
      <c r="A33" s="180">
        <v>45962</v>
      </c>
      <c r="B33" s="181"/>
      <c r="C33" s="181"/>
      <c r="D33" s="181"/>
      <c r="E33" s="181"/>
      <c r="F33" s="181"/>
      <c r="O33" s="180">
        <v>45992</v>
      </c>
      <c r="P33" s="181"/>
      <c r="Q33" s="181"/>
      <c r="R33" s="181"/>
      <c r="S33" s="181"/>
      <c r="T33" s="181"/>
    </row>
    <row r="34" spans="1:20" x14ac:dyDescent="0.35">
      <c r="A34" s="1" t="s">
        <v>0</v>
      </c>
      <c r="B34" s="1"/>
      <c r="C34" s="1"/>
      <c r="D34" s="1"/>
      <c r="E34" s="1"/>
      <c r="F34" s="1"/>
      <c r="O34" s="1" t="s">
        <v>0</v>
      </c>
      <c r="P34" s="1"/>
      <c r="Q34" s="1"/>
      <c r="R34" s="1"/>
      <c r="S34" s="1"/>
      <c r="T34" s="1"/>
    </row>
    <row r="35" spans="1:20" x14ac:dyDescent="0.35">
      <c r="A35" s="1" t="s">
        <v>32</v>
      </c>
      <c r="B35" s="1"/>
      <c r="C35" s="1"/>
      <c r="D35" s="1"/>
      <c r="E35" s="1"/>
      <c r="F35" s="1"/>
      <c r="O35" s="1" t="s">
        <v>33</v>
      </c>
      <c r="P35" s="1"/>
      <c r="Q35" s="1"/>
      <c r="R35" s="1"/>
      <c r="S35" s="1"/>
      <c r="T35" s="1"/>
    </row>
    <row r="36" spans="1:20" x14ac:dyDescent="0.35">
      <c r="A36" s="1" t="s">
        <v>1</v>
      </c>
      <c r="B36" s="1"/>
      <c r="C36" s="1"/>
      <c r="D36" s="1"/>
      <c r="E36" s="1"/>
      <c r="F36" s="1"/>
      <c r="O36" s="1" t="s">
        <v>1</v>
      </c>
      <c r="P36" s="1"/>
      <c r="Q36" s="1"/>
      <c r="R36" s="1"/>
      <c r="S36" s="1"/>
      <c r="T36" s="1"/>
    </row>
    <row r="37" spans="1:20" x14ac:dyDescent="0.35">
      <c r="A37" s="1" t="s">
        <v>2</v>
      </c>
      <c r="B37" s="1" t="s">
        <v>3</v>
      </c>
      <c r="C37" s="1" t="s">
        <v>4</v>
      </c>
      <c r="D37" s="1" t="s">
        <v>5</v>
      </c>
      <c r="E37" s="1" t="s">
        <v>6</v>
      </c>
      <c r="F37" s="1" t="s">
        <v>7</v>
      </c>
      <c r="O37" s="1" t="s">
        <v>2</v>
      </c>
      <c r="P37" s="1" t="s">
        <v>3</v>
      </c>
      <c r="Q37" s="1" t="s">
        <v>4</v>
      </c>
      <c r="R37" s="1" t="s">
        <v>5</v>
      </c>
      <c r="S37" s="1" t="s">
        <v>6</v>
      </c>
      <c r="T37" s="1" t="s">
        <v>7</v>
      </c>
    </row>
    <row r="38" spans="1:20" x14ac:dyDescent="0.35">
      <c r="A38" s="1" t="s">
        <v>8</v>
      </c>
      <c r="B38" s="1">
        <v>5694.3279000000002</v>
      </c>
      <c r="C38" s="1" t="s">
        <v>9</v>
      </c>
      <c r="D38" s="1">
        <v>1</v>
      </c>
      <c r="E38" s="1">
        <v>5694.3279000000002</v>
      </c>
      <c r="F38" s="1"/>
      <c r="O38" s="1" t="s">
        <v>8</v>
      </c>
      <c r="P38" s="1">
        <v>5694.3279000000002</v>
      </c>
      <c r="Q38" s="1" t="s">
        <v>9</v>
      </c>
      <c r="R38" s="1">
        <v>1</v>
      </c>
      <c r="S38" s="1">
        <v>5694.3279000000002</v>
      </c>
      <c r="T38" s="1"/>
    </row>
    <row r="39" spans="1:20" x14ac:dyDescent="0.35">
      <c r="A39" s="1" t="s">
        <v>10</v>
      </c>
      <c r="B39" s="1">
        <v>107.5628</v>
      </c>
      <c r="C39" s="1" t="s">
        <v>11</v>
      </c>
      <c r="D39" s="1">
        <v>587.63589000000002</v>
      </c>
      <c r="E39" s="1">
        <v>63207.761708892001</v>
      </c>
      <c r="F39" s="2">
        <v>45988.854166666664</v>
      </c>
      <c r="O39" s="1" t="s">
        <v>10</v>
      </c>
      <c r="P39" s="1">
        <v>107.5628</v>
      </c>
      <c r="Q39" s="1" t="s">
        <v>11</v>
      </c>
      <c r="R39" s="1">
        <v>576.46339799999998</v>
      </c>
      <c r="S39" s="1">
        <v>62006.017186394398</v>
      </c>
      <c r="T39" s="2">
        <v>45995.833333333336</v>
      </c>
    </row>
    <row r="40" spans="1:20" x14ac:dyDescent="0.35">
      <c r="A40" s="1" t="s">
        <v>12</v>
      </c>
      <c r="B40" s="1">
        <v>161.86080000000001</v>
      </c>
      <c r="C40" s="1" t="s">
        <v>11</v>
      </c>
      <c r="D40" s="1">
        <v>587.63589000000002</v>
      </c>
      <c r="E40" s="1">
        <v>95115.215264112005</v>
      </c>
      <c r="F40" s="2">
        <v>45988.854166666664</v>
      </c>
      <c r="O40" s="1" t="s">
        <v>12</v>
      </c>
      <c r="P40" s="1">
        <v>161.86080000000001</v>
      </c>
      <c r="Q40" s="1" t="s">
        <v>11</v>
      </c>
      <c r="R40" s="1">
        <v>576.46339799999998</v>
      </c>
      <c r="S40" s="1">
        <v>93306.826770998407</v>
      </c>
      <c r="T40" s="2">
        <v>45995.833333333336</v>
      </c>
    </row>
    <row r="41" spans="1:20" x14ac:dyDescent="0.35">
      <c r="A41" s="1" t="s">
        <v>13</v>
      </c>
      <c r="B41" s="1">
        <v>11.4252</v>
      </c>
      <c r="C41" s="1" t="s">
        <v>14</v>
      </c>
      <c r="D41" s="1">
        <v>0</v>
      </c>
      <c r="E41" s="1">
        <v>0</v>
      </c>
      <c r="F41" s="1"/>
      <c r="O41" s="1" t="s">
        <v>13</v>
      </c>
      <c r="P41" s="1">
        <v>11.4252</v>
      </c>
      <c r="Q41" s="1" t="s">
        <v>14</v>
      </c>
      <c r="R41" s="1">
        <v>0</v>
      </c>
      <c r="S41" s="1">
        <v>0</v>
      </c>
      <c r="T41" s="1"/>
    </row>
    <row r="42" spans="1:20" x14ac:dyDescent="0.35">
      <c r="A42" s="1" t="s">
        <v>15</v>
      </c>
      <c r="B42" s="1">
        <v>3.7132000000000001</v>
      </c>
      <c r="C42" s="1" t="s">
        <v>14</v>
      </c>
      <c r="D42" s="1">
        <v>40347.68</v>
      </c>
      <c r="E42" s="1">
        <v>149819.00537599999</v>
      </c>
      <c r="F42" s="1"/>
      <c r="O42" s="1" t="s">
        <v>15</v>
      </c>
      <c r="P42" s="1">
        <v>3.7132000000000001</v>
      </c>
      <c r="Q42" s="1" t="s">
        <v>14</v>
      </c>
      <c r="R42" s="1">
        <v>30983.01</v>
      </c>
      <c r="S42" s="1">
        <v>115046.11273199999</v>
      </c>
      <c r="T42" s="1"/>
    </row>
    <row r="43" spans="1:20" x14ac:dyDescent="0.35">
      <c r="A43" s="1" t="s">
        <v>16</v>
      </c>
      <c r="B43" s="1">
        <v>3.3047</v>
      </c>
      <c r="C43" s="1" t="s">
        <v>14</v>
      </c>
      <c r="D43" s="1">
        <v>0</v>
      </c>
      <c r="E43" s="1">
        <v>0</v>
      </c>
      <c r="F43" s="1"/>
      <c r="O43" s="1" t="s">
        <v>16</v>
      </c>
      <c r="P43" s="1">
        <v>3.3047</v>
      </c>
      <c r="Q43" s="1" t="s">
        <v>14</v>
      </c>
      <c r="R43" s="1">
        <v>0</v>
      </c>
      <c r="S43" s="1">
        <v>0</v>
      </c>
      <c r="T43" s="1"/>
    </row>
    <row r="44" spans="1:20" x14ac:dyDescent="0.35">
      <c r="A44" s="1" t="s">
        <v>17</v>
      </c>
      <c r="B44" s="1">
        <v>2.4230999999999998</v>
      </c>
      <c r="C44" s="1" t="s">
        <v>14</v>
      </c>
      <c r="D44" s="1">
        <v>93869.99</v>
      </c>
      <c r="E44" s="1">
        <v>227456.37276900001</v>
      </c>
      <c r="F44" s="1"/>
      <c r="O44" s="1" t="s">
        <v>17</v>
      </c>
      <c r="P44" s="1">
        <v>2.4230999999999998</v>
      </c>
      <c r="Q44" s="1" t="s">
        <v>14</v>
      </c>
      <c r="R44" s="1">
        <v>76012.389999999898</v>
      </c>
      <c r="S44" s="1">
        <v>184185.62220899999</v>
      </c>
      <c r="T44" s="1"/>
    </row>
    <row r="45" spans="1:20" x14ac:dyDescent="0.35">
      <c r="A45" s="1" t="s">
        <v>18</v>
      </c>
      <c r="B45" s="1">
        <v>2.0192000000000001</v>
      </c>
      <c r="C45" s="1" t="s">
        <v>14</v>
      </c>
      <c r="D45" s="1">
        <v>0</v>
      </c>
      <c r="E45" s="1">
        <v>0</v>
      </c>
      <c r="F45" s="1"/>
      <c r="O45" s="1" t="s">
        <v>18</v>
      </c>
      <c r="P45" s="1">
        <v>2.0192000000000001</v>
      </c>
      <c r="Q45" s="1" t="s">
        <v>14</v>
      </c>
      <c r="R45" s="1">
        <v>0</v>
      </c>
      <c r="S45" s="1">
        <v>0</v>
      </c>
      <c r="T45" s="1"/>
    </row>
    <row r="46" spans="1:20" x14ac:dyDescent="0.35">
      <c r="A46" s="1" t="s">
        <v>19</v>
      </c>
      <c r="B46" s="1">
        <v>1.8357000000000001</v>
      </c>
      <c r="C46" s="1" t="s">
        <v>14</v>
      </c>
      <c r="D46" s="1">
        <v>125695.44</v>
      </c>
      <c r="E46" s="1">
        <v>230739.11920799999</v>
      </c>
      <c r="F46" s="1"/>
      <c r="O46" s="1" t="s">
        <v>19</v>
      </c>
      <c r="P46" s="1">
        <v>1.8357000000000001</v>
      </c>
      <c r="Q46" s="1" t="s">
        <v>14</v>
      </c>
      <c r="R46" s="1">
        <v>108748.62</v>
      </c>
      <c r="S46" s="1">
        <v>199629.84173399999</v>
      </c>
      <c r="T46" s="1"/>
    </row>
    <row r="47" spans="1:20" x14ac:dyDescent="0.35">
      <c r="A47" s="1" t="s">
        <v>22</v>
      </c>
      <c r="B47" s="1"/>
      <c r="C47" s="1"/>
      <c r="D47" s="1"/>
      <c r="E47" s="1">
        <v>772031.80222600396</v>
      </c>
      <c r="F47" s="1"/>
      <c r="O47" s="1" t="s">
        <v>22</v>
      </c>
      <c r="P47" s="1"/>
      <c r="Q47" s="1"/>
      <c r="R47" s="1"/>
      <c r="S47" s="1">
        <v>659868.74853239197</v>
      </c>
      <c r="T47" s="1"/>
    </row>
    <row r="49" spans="1:29" x14ac:dyDescent="0.35">
      <c r="A49" s="180">
        <v>46023</v>
      </c>
      <c r="B49" s="181"/>
      <c r="C49" s="181"/>
      <c r="D49" s="181"/>
      <c r="E49" s="181"/>
      <c r="F49" s="181"/>
      <c r="O49" s="182">
        <v>46054</v>
      </c>
      <c r="P49" s="183"/>
      <c r="Q49" s="183"/>
      <c r="R49" s="183"/>
      <c r="S49" s="183"/>
      <c r="T49" s="183"/>
      <c r="V49" s="184">
        <v>46054</v>
      </c>
      <c r="W49" s="185"/>
      <c r="X49" s="185"/>
      <c r="Y49" s="186"/>
      <c r="Z49" s="187">
        <v>46106</v>
      </c>
      <c r="AA49" s="188"/>
    </row>
    <row r="50" spans="1:29" x14ac:dyDescent="0.35">
      <c r="A50" s="1" t="s">
        <v>0</v>
      </c>
      <c r="B50" s="1"/>
      <c r="C50" s="1"/>
      <c r="D50" s="1"/>
      <c r="E50" s="1"/>
      <c r="F50" s="1"/>
      <c r="O50" s="1" t="s">
        <v>0</v>
      </c>
      <c r="P50" s="1"/>
      <c r="Q50" s="1"/>
      <c r="R50" s="1"/>
      <c r="S50" s="1"/>
      <c r="T50" s="1"/>
      <c r="V50" s="1" t="s">
        <v>0</v>
      </c>
      <c r="W50" s="1"/>
      <c r="X50" s="1"/>
      <c r="Y50" s="1"/>
      <c r="Z50" s="1"/>
      <c r="AA50" s="1"/>
    </row>
    <row r="51" spans="1:29" x14ac:dyDescent="0.35">
      <c r="A51" s="1" t="s">
        <v>34</v>
      </c>
      <c r="B51" s="1"/>
      <c r="C51" s="1"/>
      <c r="D51" s="1"/>
      <c r="E51" s="1"/>
      <c r="F51" s="1"/>
      <c r="O51" s="1" t="s">
        <v>35</v>
      </c>
      <c r="P51" s="1"/>
      <c r="Q51" s="1"/>
      <c r="R51" s="1"/>
      <c r="S51" s="1"/>
      <c r="T51" s="1"/>
      <c r="V51" s="1" t="s">
        <v>35</v>
      </c>
      <c r="W51" s="1"/>
      <c r="X51" s="1"/>
      <c r="Y51" s="1"/>
      <c r="Z51" s="1"/>
      <c r="AA51" s="1"/>
    </row>
    <row r="52" spans="1:29" x14ac:dyDescent="0.35">
      <c r="A52" s="1" t="s">
        <v>1</v>
      </c>
      <c r="B52" s="1"/>
      <c r="C52" s="1"/>
      <c r="D52" s="1"/>
      <c r="E52" s="1"/>
      <c r="F52" s="1"/>
      <c r="O52" s="1" t="s">
        <v>36</v>
      </c>
      <c r="P52" s="15"/>
      <c r="Q52" s="15"/>
      <c r="R52" s="15"/>
      <c r="S52" s="15"/>
      <c r="T52" s="15"/>
      <c r="V52" s="1" t="s">
        <v>36</v>
      </c>
      <c r="W52" s="1"/>
      <c r="X52" s="1"/>
      <c r="Y52" s="1"/>
      <c r="Z52" s="1"/>
      <c r="AA52" s="1"/>
    </row>
    <row r="53" spans="1:29" x14ac:dyDescent="0.35">
      <c r="A53" s="1" t="s">
        <v>2</v>
      </c>
      <c r="B53" s="1" t="s">
        <v>3</v>
      </c>
      <c r="C53" s="1" t="s">
        <v>4</v>
      </c>
      <c r="D53" s="1" t="s">
        <v>5</v>
      </c>
      <c r="E53" s="1" t="s">
        <v>6</v>
      </c>
      <c r="F53" s="1" t="s">
        <v>7</v>
      </c>
      <c r="O53" s="1" t="s">
        <v>35</v>
      </c>
      <c r="P53" s="1" t="s">
        <v>3</v>
      </c>
      <c r="Q53" s="1" t="s">
        <v>4</v>
      </c>
      <c r="R53" s="1" t="s">
        <v>5</v>
      </c>
      <c r="S53" s="1" t="s">
        <v>6</v>
      </c>
      <c r="T53" s="1" t="s">
        <v>7</v>
      </c>
      <c r="V53" s="1" t="s">
        <v>2</v>
      </c>
      <c r="W53" s="1" t="s">
        <v>3</v>
      </c>
      <c r="X53" s="1" t="s">
        <v>4</v>
      </c>
      <c r="Y53" s="1" t="s">
        <v>5</v>
      </c>
      <c r="Z53" s="1" t="s">
        <v>6</v>
      </c>
      <c r="AA53" s="1"/>
    </row>
    <row r="54" spans="1:29" x14ac:dyDescent="0.35">
      <c r="A54" s="1" t="s">
        <v>8</v>
      </c>
      <c r="B54" s="1">
        <v>5694.3279000000002</v>
      </c>
      <c r="C54" s="1" t="s">
        <v>9</v>
      </c>
      <c r="D54" s="1">
        <v>1</v>
      </c>
      <c r="E54" s="1">
        <v>5694.3279000000002</v>
      </c>
      <c r="F54" s="1"/>
      <c r="O54" s="1" t="s">
        <v>36</v>
      </c>
      <c r="P54" s="1">
        <v>5207.09</v>
      </c>
      <c r="Q54" s="1" t="s">
        <v>9</v>
      </c>
      <c r="R54" s="1">
        <v>1</v>
      </c>
      <c r="S54" s="1">
        <v>5207.09</v>
      </c>
      <c r="T54" s="1"/>
      <c r="V54" s="1" t="s">
        <v>8</v>
      </c>
      <c r="W54" s="1">
        <v>5207.09</v>
      </c>
      <c r="X54" s="1" t="s">
        <v>9</v>
      </c>
      <c r="Y54" s="1">
        <v>1</v>
      </c>
      <c r="Z54" s="3">
        <f>Y54*W54</f>
        <v>5207.09</v>
      </c>
      <c r="AA54" s="1"/>
    </row>
    <row r="55" spans="1:29" x14ac:dyDescent="0.35">
      <c r="A55" s="1" t="s">
        <v>10</v>
      </c>
      <c r="B55" s="1">
        <v>107.5628</v>
      </c>
      <c r="C55" s="1" t="s">
        <v>11</v>
      </c>
      <c r="D55" s="1">
        <v>595.78726800000004</v>
      </c>
      <c r="E55" s="1">
        <v>64084.546750430403</v>
      </c>
      <c r="F55" s="2">
        <v>46051.916666666664</v>
      </c>
      <c r="O55" s="1" t="s">
        <v>10</v>
      </c>
      <c r="P55" s="1">
        <v>105.9466</v>
      </c>
      <c r="Q55" s="1" t="s">
        <v>11</v>
      </c>
      <c r="R55" s="1">
        <v>569.79912999999999</v>
      </c>
      <c r="S55" s="1">
        <v>60368.280506458002</v>
      </c>
      <c r="T55" s="2">
        <v>46063.791666666664</v>
      </c>
      <c r="V55" s="1" t="s">
        <v>10</v>
      </c>
      <c r="W55" s="9">
        <f>Z55/Y55</f>
        <v>109.2286009726409</v>
      </c>
      <c r="X55" s="1" t="s">
        <v>11</v>
      </c>
      <c r="Y55" s="1">
        <v>592.81899999999996</v>
      </c>
      <c r="Z55" s="3">
        <v>64752.79</v>
      </c>
      <c r="AA55" s="2"/>
      <c r="AC55" s="16">
        <f>Y55/R55</f>
        <v>1.0403999739346741</v>
      </c>
    </row>
    <row r="56" spans="1:29" x14ac:dyDescent="0.35">
      <c r="A56" s="1" t="s">
        <v>12</v>
      </c>
      <c r="B56" s="1">
        <v>161.86080000000001</v>
      </c>
      <c r="C56" s="1" t="s">
        <v>11</v>
      </c>
      <c r="D56" s="1">
        <v>595.78726800000004</v>
      </c>
      <c r="E56" s="1">
        <v>96434.603828294406</v>
      </c>
      <c r="F56" s="2">
        <v>46051.916666666664</v>
      </c>
      <c r="O56" s="1" t="s">
        <v>12</v>
      </c>
      <c r="P56" s="1">
        <v>146.09</v>
      </c>
      <c r="Q56" s="1" t="s">
        <v>11</v>
      </c>
      <c r="R56" s="1">
        <v>569.79912999999999</v>
      </c>
      <c r="S56" s="1">
        <v>83241.954901699995</v>
      </c>
      <c r="T56" s="2">
        <v>46063.791666666664</v>
      </c>
      <c r="V56" s="1" t="s">
        <v>12</v>
      </c>
      <c r="W56" s="1">
        <v>146.09</v>
      </c>
      <c r="X56" s="1" t="s">
        <v>11</v>
      </c>
      <c r="Y56" s="1">
        <f>Y55</f>
        <v>592.81899999999996</v>
      </c>
      <c r="Z56" s="3">
        <f t="shared" ref="Z56:Z62" si="0">Y56*W56</f>
        <v>86604.927709999989</v>
      </c>
      <c r="AA56" s="2"/>
      <c r="AC56" s="16">
        <f t="shared" ref="AC56:AC62" si="1">Y56/R56</f>
        <v>1.0403999739346741</v>
      </c>
    </row>
    <row r="57" spans="1:29" x14ac:dyDescent="0.35">
      <c r="A57" s="1" t="s">
        <v>13</v>
      </c>
      <c r="B57" s="1">
        <v>11.4252</v>
      </c>
      <c r="C57" s="1" t="s">
        <v>14</v>
      </c>
      <c r="D57" s="1">
        <v>0</v>
      </c>
      <c r="E57" s="1">
        <v>0</v>
      </c>
      <c r="F57" s="1"/>
      <c r="O57" s="1" t="s">
        <v>13</v>
      </c>
      <c r="P57" s="1">
        <v>10.486000000000001</v>
      </c>
      <c r="Q57" s="1" t="s">
        <v>14</v>
      </c>
      <c r="R57" s="1">
        <v>0</v>
      </c>
      <c r="S57" s="1">
        <v>0</v>
      </c>
      <c r="T57" s="1"/>
      <c r="V57" s="1" t="s">
        <v>13</v>
      </c>
      <c r="W57" s="1">
        <v>10.486000000000001</v>
      </c>
      <c r="X57" s="1" t="s">
        <v>14</v>
      </c>
      <c r="Y57" s="1">
        <v>0</v>
      </c>
      <c r="Z57" s="3">
        <f t="shared" si="0"/>
        <v>0</v>
      </c>
      <c r="AA57" s="1"/>
      <c r="AC57" s="16"/>
    </row>
    <row r="58" spans="1:29" x14ac:dyDescent="0.35">
      <c r="A58" s="1" t="s">
        <v>15</v>
      </c>
      <c r="B58" s="1">
        <v>3.7132000000000001</v>
      </c>
      <c r="C58" s="1" t="s">
        <v>14</v>
      </c>
      <c r="D58" s="1">
        <v>40917.379999999997</v>
      </c>
      <c r="E58" s="1">
        <v>151934.415416</v>
      </c>
      <c r="F58" s="1"/>
      <c r="O58" s="1" t="s">
        <v>15</v>
      </c>
      <c r="P58" s="1">
        <v>3.415</v>
      </c>
      <c r="Q58" s="1" t="s">
        <v>14</v>
      </c>
      <c r="R58" s="1">
        <v>37054.89</v>
      </c>
      <c r="S58" s="1">
        <v>126542.44935</v>
      </c>
      <c r="T58" s="1"/>
      <c r="V58" s="1" t="s">
        <v>15</v>
      </c>
      <c r="W58" s="1">
        <v>3.415</v>
      </c>
      <c r="X58" s="1" t="s">
        <v>14</v>
      </c>
      <c r="Y58" s="1">
        <v>37720.798999999999</v>
      </c>
      <c r="Z58" s="3">
        <f t="shared" si="0"/>
        <v>128816.52858499999</v>
      </c>
      <c r="AA58" s="1"/>
      <c r="AC58" s="16">
        <f t="shared" si="1"/>
        <v>1.0179708804964742</v>
      </c>
    </row>
    <row r="59" spans="1:29" x14ac:dyDescent="0.35">
      <c r="A59" s="1" t="s">
        <v>16</v>
      </c>
      <c r="B59" s="1">
        <v>3.3047</v>
      </c>
      <c r="C59" s="1" t="s">
        <v>14</v>
      </c>
      <c r="D59" s="1">
        <v>0</v>
      </c>
      <c r="E59" s="1">
        <v>0</v>
      </c>
      <c r="F59" s="1"/>
      <c r="O59" s="1" t="s">
        <v>16</v>
      </c>
      <c r="P59" s="1">
        <v>3.036</v>
      </c>
      <c r="Q59" s="1" t="s">
        <v>14</v>
      </c>
      <c r="R59" s="1">
        <v>0</v>
      </c>
      <c r="S59" s="1">
        <v>0</v>
      </c>
      <c r="T59" s="1"/>
      <c r="V59" s="1" t="s">
        <v>16</v>
      </c>
      <c r="W59" s="1">
        <v>3.036</v>
      </c>
      <c r="X59" s="1" t="s">
        <v>14</v>
      </c>
      <c r="Y59" s="1">
        <v>0</v>
      </c>
      <c r="Z59" s="3">
        <f t="shared" si="0"/>
        <v>0</v>
      </c>
      <c r="AA59" s="1"/>
      <c r="AC59" s="16"/>
    </row>
    <row r="60" spans="1:29" x14ac:dyDescent="0.35">
      <c r="A60" s="1" t="s">
        <v>17</v>
      </c>
      <c r="B60" s="1">
        <v>2.4230999999999998</v>
      </c>
      <c r="C60" s="1" t="s">
        <v>14</v>
      </c>
      <c r="D60" s="1">
        <v>88116.320000000094</v>
      </c>
      <c r="E60" s="1">
        <v>213514.654992</v>
      </c>
      <c r="F60" s="1"/>
      <c r="O60" s="1" t="s">
        <v>17</v>
      </c>
      <c r="P60" s="1">
        <v>2.2309999999999999</v>
      </c>
      <c r="Q60" s="1" t="s">
        <v>14</v>
      </c>
      <c r="R60" s="1">
        <v>78921.150000000096</v>
      </c>
      <c r="S60" s="1">
        <v>176073.08564999999</v>
      </c>
      <c r="T60" s="1"/>
      <c r="V60" s="1" t="s">
        <v>17</v>
      </c>
      <c r="W60" s="1">
        <v>2.2309999999999999</v>
      </c>
      <c r="X60" s="1" t="s">
        <v>14</v>
      </c>
      <c r="Y60" s="1">
        <v>80308.800000000003</v>
      </c>
      <c r="Z60" s="3">
        <f t="shared" si="0"/>
        <v>179168.93280000001</v>
      </c>
      <c r="AA60" s="1"/>
      <c r="AC60" s="16">
        <f t="shared" si="1"/>
        <v>1.0175827392276964</v>
      </c>
    </row>
    <row r="61" spans="1:29" x14ac:dyDescent="0.35">
      <c r="A61" s="1" t="s">
        <v>18</v>
      </c>
      <c r="B61" s="1">
        <v>2.0192000000000001</v>
      </c>
      <c r="C61" s="1" t="s">
        <v>14</v>
      </c>
      <c r="D61" s="1">
        <v>0</v>
      </c>
      <c r="E61" s="1">
        <v>0</v>
      </c>
      <c r="F61" s="1"/>
      <c r="O61" s="1" t="s">
        <v>18</v>
      </c>
      <c r="P61" s="1">
        <v>1.8480000000000001</v>
      </c>
      <c r="Q61" s="1" t="s">
        <v>14</v>
      </c>
      <c r="R61" s="1">
        <v>0</v>
      </c>
      <c r="S61" s="1">
        <v>0</v>
      </c>
      <c r="T61" s="1"/>
      <c r="V61" s="1" t="s">
        <v>18</v>
      </c>
      <c r="W61" s="1">
        <v>1.8480000000000001</v>
      </c>
      <c r="X61" s="1" t="s">
        <v>14</v>
      </c>
      <c r="Y61" s="1">
        <v>0</v>
      </c>
      <c r="Z61" s="3">
        <f t="shared" si="0"/>
        <v>0</v>
      </c>
      <c r="AA61" s="1"/>
      <c r="AC61" s="16"/>
    </row>
    <row r="62" spans="1:29" x14ac:dyDescent="0.35">
      <c r="A62" s="1" t="s">
        <v>19</v>
      </c>
      <c r="B62" s="1">
        <v>1.8357000000000001</v>
      </c>
      <c r="C62" s="1" t="s">
        <v>14</v>
      </c>
      <c r="D62" s="1">
        <v>113724.34</v>
      </c>
      <c r="E62" s="1">
        <v>208763.770938</v>
      </c>
      <c r="F62" s="1"/>
      <c r="O62" s="1" t="s">
        <v>19</v>
      </c>
      <c r="P62" s="1">
        <v>1.6930000000000001</v>
      </c>
      <c r="Q62" s="1" t="s">
        <v>14</v>
      </c>
      <c r="R62" s="1">
        <v>102771.76</v>
      </c>
      <c r="S62" s="1">
        <v>173992.58968</v>
      </c>
      <c r="T62" s="1"/>
      <c r="V62" s="1" t="s">
        <v>19</v>
      </c>
      <c r="W62" s="1">
        <v>1.6930000000000001</v>
      </c>
      <c r="X62" s="1" t="s">
        <v>14</v>
      </c>
      <c r="Y62" s="1">
        <v>104607.599</v>
      </c>
      <c r="Z62" s="3">
        <f t="shared" si="0"/>
        <v>177100.66510700001</v>
      </c>
      <c r="AA62" s="1"/>
      <c r="AC62" s="16">
        <f t="shared" si="1"/>
        <v>1.0178632632154982</v>
      </c>
    </row>
    <row r="63" spans="1:29" x14ac:dyDescent="0.35">
      <c r="A63" s="1" t="s">
        <v>22</v>
      </c>
      <c r="B63" s="1"/>
      <c r="C63" s="1"/>
      <c r="D63" s="1"/>
      <c r="E63" s="1">
        <v>740426.31982472504</v>
      </c>
      <c r="F63" s="1"/>
      <c r="O63" s="1" t="s">
        <v>22</v>
      </c>
      <c r="P63" s="1"/>
      <c r="Q63" s="1"/>
      <c r="R63" s="1"/>
      <c r="S63" s="1">
        <v>625425.45008815802</v>
      </c>
      <c r="T63" s="1"/>
      <c r="V63" s="1" t="s">
        <v>22</v>
      </c>
      <c r="W63" s="1"/>
      <c r="X63" s="1"/>
      <c r="Y63" s="1"/>
      <c r="Z63" s="3">
        <f>SUM(Z54:Z62)</f>
        <v>641650.93420200003</v>
      </c>
      <c r="AA63" s="1"/>
    </row>
    <row r="65" spans="1:26" x14ac:dyDescent="0.35">
      <c r="O65" s="7" t="s">
        <v>26</v>
      </c>
      <c r="P65" s="7" t="s">
        <v>3</v>
      </c>
      <c r="Q65" s="7" t="s">
        <v>4</v>
      </c>
      <c r="R65" s="7" t="s">
        <v>5</v>
      </c>
      <c r="S65" s="7" t="s">
        <v>6</v>
      </c>
      <c r="V65" s="7" t="s">
        <v>26</v>
      </c>
      <c r="W65" s="7" t="s">
        <v>3</v>
      </c>
      <c r="X65" s="7" t="s">
        <v>4</v>
      </c>
      <c r="Y65" s="7" t="s">
        <v>5</v>
      </c>
      <c r="Z65" s="7" t="s">
        <v>6</v>
      </c>
    </row>
    <row r="66" spans="1:26" x14ac:dyDescent="0.35">
      <c r="O66" s="1" t="s">
        <v>27</v>
      </c>
      <c r="P66" s="3">
        <v>49.11</v>
      </c>
      <c r="Q66" s="1" t="s">
        <v>28</v>
      </c>
      <c r="R66" s="8">
        <v>138</v>
      </c>
      <c r="S66" s="9">
        <f>R66*P66</f>
        <v>6777.18</v>
      </c>
      <c r="V66" s="1" t="s">
        <v>27</v>
      </c>
      <c r="W66" s="3">
        <v>49.11</v>
      </c>
      <c r="X66" s="1" t="s">
        <v>28</v>
      </c>
      <c r="Y66" s="8">
        <v>215</v>
      </c>
      <c r="Z66" s="9">
        <f>Y66*W66</f>
        <v>10558.65</v>
      </c>
    </row>
    <row r="67" spans="1:26" x14ac:dyDescent="0.35">
      <c r="O67" s="1" t="s">
        <v>29</v>
      </c>
      <c r="P67" s="3">
        <v>18.91</v>
      </c>
      <c r="Q67" s="1" t="s">
        <v>28</v>
      </c>
      <c r="R67" s="8">
        <f>R66</f>
        <v>138</v>
      </c>
      <c r="S67" s="9">
        <f>R67*P67</f>
        <v>2609.58</v>
      </c>
      <c r="V67" s="1" t="s">
        <v>29</v>
      </c>
      <c r="W67" s="3">
        <v>18.91</v>
      </c>
      <c r="X67" s="1" t="s">
        <v>28</v>
      </c>
      <c r="Y67" s="8">
        <f>Y66</f>
        <v>215</v>
      </c>
      <c r="Z67" s="9">
        <f>Y67*W67</f>
        <v>4065.65</v>
      </c>
    </row>
    <row r="68" spans="1:26" x14ac:dyDescent="0.35">
      <c r="O68" s="4" t="s">
        <v>30</v>
      </c>
      <c r="P68" s="1"/>
      <c r="Q68" s="1"/>
      <c r="R68" s="1"/>
      <c r="S68" s="10">
        <f>SUM(S66:S67)</f>
        <v>9386.76</v>
      </c>
      <c r="V68" s="4" t="s">
        <v>30</v>
      </c>
      <c r="W68" s="1"/>
      <c r="X68" s="1"/>
      <c r="Y68" s="1"/>
      <c r="Z68" s="10">
        <f>SUM(Z66:Z67)</f>
        <v>14624.3</v>
      </c>
    </row>
    <row r="70" spans="1:26" x14ac:dyDescent="0.35">
      <c r="O70" s="177" t="s">
        <v>31</v>
      </c>
      <c r="P70" s="178"/>
      <c r="Q70" s="178"/>
      <c r="R70" s="179"/>
      <c r="S70" s="11">
        <f>S68+S63</f>
        <v>634812.21008815803</v>
      </c>
      <c r="V70" s="177" t="s">
        <v>31</v>
      </c>
      <c r="W70" s="178"/>
      <c r="X70" s="178"/>
      <c r="Y70" s="179"/>
      <c r="Z70" s="11">
        <f>Z68+Z63</f>
        <v>656275.23420200008</v>
      </c>
    </row>
    <row r="74" spans="1:26" x14ac:dyDescent="0.35">
      <c r="A74" s="182">
        <v>46082</v>
      </c>
      <c r="B74" s="183"/>
      <c r="C74" s="183"/>
      <c r="D74" s="183"/>
      <c r="E74" s="183"/>
      <c r="F74" s="183"/>
      <c r="H74" s="184">
        <v>46082</v>
      </c>
      <c r="I74" s="185"/>
      <c r="J74" s="185"/>
      <c r="K74" s="186"/>
      <c r="L74" s="187">
        <v>46140</v>
      </c>
      <c r="M74" s="188"/>
      <c r="O74" s="182">
        <v>46113</v>
      </c>
      <c r="P74" s="183"/>
      <c r="Q74" s="183"/>
      <c r="R74" s="183"/>
      <c r="S74" s="183"/>
      <c r="T74" s="183"/>
    </row>
    <row r="75" spans="1:26" x14ac:dyDescent="0.35">
      <c r="A75" s="1" t="s">
        <v>0</v>
      </c>
      <c r="B75" s="1"/>
      <c r="C75" s="1"/>
      <c r="D75" s="1"/>
      <c r="E75" s="1"/>
      <c r="F75" s="1"/>
      <c r="H75" s="1" t="s">
        <v>0</v>
      </c>
      <c r="I75" s="1"/>
      <c r="J75" s="1"/>
      <c r="K75" s="1"/>
      <c r="L75" s="1"/>
      <c r="M75" s="1"/>
      <c r="O75" s="1" t="s">
        <v>0</v>
      </c>
      <c r="P75" s="1"/>
      <c r="Q75" s="1"/>
      <c r="R75" s="1"/>
      <c r="S75" s="1"/>
      <c r="T75" s="1"/>
    </row>
    <row r="76" spans="1:26" x14ac:dyDescent="0.35">
      <c r="A76" s="1" t="s">
        <v>37</v>
      </c>
      <c r="B76" s="1"/>
      <c r="C76" s="1"/>
      <c r="D76" s="1"/>
      <c r="E76" s="1"/>
      <c r="F76" s="1"/>
      <c r="H76" s="1" t="s">
        <v>37</v>
      </c>
      <c r="I76" s="1"/>
      <c r="J76" s="1"/>
      <c r="K76" s="1"/>
      <c r="L76" s="1"/>
      <c r="M76" s="1"/>
      <c r="O76" s="1" t="s">
        <v>38</v>
      </c>
      <c r="P76" s="1"/>
      <c r="Q76" s="1"/>
      <c r="R76" s="1"/>
      <c r="S76" s="1"/>
      <c r="T76" s="1"/>
    </row>
    <row r="77" spans="1:26" x14ac:dyDescent="0.35">
      <c r="A77" s="1" t="s">
        <v>36</v>
      </c>
      <c r="B77" s="1"/>
      <c r="C77" s="1"/>
      <c r="D77" s="1"/>
      <c r="E77" s="1"/>
      <c r="F77" s="1"/>
      <c r="H77" s="1" t="s">
        <v>36</v>
      </c>
      <c r="I77" s="1"/>
      <c r="J77" s="1"/>
      <c r="K77" s="1"/>
      <c r="L77" s="1"/>
      <c r="M77" s="1"/>
      <c r="O77" s="1" t="s">
        <v>36</v>
      </c>
      <c r="P77" s="1"/>
      <c r="Q77" s="1"/>
      <c r="R77" s="1"/>
      <c r="S77" s="1"/>
      <c r="T77" s="1"/>
    </row>
    <row r="78" spans="1:26" x14ac:dyDescent="0.35">
      <c r="A78" s="1" t="s">
        <v>2</v>
      </c>
      <c r="B78" s="1" t="s">
        <v>3</v>
      </c>
      <c r="C78" s="1" t="s">
        <v>4</v>
      </c>
      <c r="D78" s="1" t="s">
        <v>5</v>
      </c>
      <c r="E78" s="1" t="s">
        <v>6</v>
      </c>
      <c r="F78" s="1" t="s">
        <v>7</v>
      </c>
      <c r="H78" s="1" t="s">
        <v>2</v>
      </c>
      <c r="I78" s="1" t="s">
        <v>3</v>
      </c>
      <c r="J78" s="1" t="s">
        <v>4</v>
      </c>
      <c r="K78" s="1" t="s">
        <v>5</v>
      </c>
      <c r="L78" s="1" t="s">
        <v>6</v>
      </c>
      <c r="M78" s="1"/>
      <c r="O78" s="1" t="s">
        <v>2</v>
      </c>
      <c r="P78" s="1" t="s">
        <v>3</v>
      </c>
      <c r="Q78" s="1" t="s">
        <v>4</v>
      </c>
      <c r="R78" s="1" t="s">
        <v>5</v>
      </c>
      <c r="S78" s="1" t="s">
        <v>6</v>
      </c>
      <c r="T78" s="1" t="s">
        <v>7</v>
      </c>
    </row>
    <row r="79" spans="1:26" x14ac:dyDescent="0.35">
      <c r="A79" s="1" t="s">
        <v>8</v>
      </c>
      <c r="B79" s="1">
        <v>5207.09</v>
      </c>
      <c r="C79" s="1" t="s">
        <v>9</v>
      </c>
      <c r="D79" s="1">
        <v>1</v>
      </c>
      <c r="E79" s="3">
        <v>5207.09</v>
      </c>
      <c r="F79" s="1"/>
      <c r="H79" s="1" t="s">
        <v>8</v>
      </c>
      <c r="I79" s="1">
        <v>5207.09</v>
      </c>
      <c r="J79" s="1" t="s">
        <v>9</v>
      </c>
      <c r="K79" s="1">
        <v>1</v>
      </c>
      <c r="L79" s="3">
        <f>K79*I79</f>
        <v>5207.09</v>
      </c>
      <c r="M79" s="1"/>
      <c r="O79" s="1" t="s">
        <v>8</v>
      </c>
      <c r="P79" s="1">
        <v>5207.09</v>
      </c>
      <c r="Q79" s="1" t="s">
        <v>9</v>
      </c>
      <c r="R79" s="1">
        <v>1</v>
      </c>
      <c r="S79" s="1">
        <f>R79*P79</f>
        <v>5207.09</v>
      </c>
      <c r="T79" s="1"/>
    </row>
    <row r="80" spans="1:26" x14ac:dyDescent="0.35">
      <c r="A80" s="1" t="s">
        <v>10</v>
      </c>
      <c r="B80" s="1">
        <v>105.9466</v>
      </c>
      <c r="C80" s="1" t="s">
        <v>11</v>
      </c>
      <c r="D80" s="1">
        <v>608.31234400000005</v>
      </c>
      <c r="E80" s="3">
        <v>64448.624584830402</v>
      </c>
      <c r="F80" s="2">
        <v>46091.895833333336</v>
      </c>
      <c r="H80" s="1" t="s">
        <v>10</v>
      </c>
      <c r="I80" s="9">
        <f>L80/K80</f>
        <v>102.67008409863514</v>
      </c>
      <c r="J80" s="1" t="s">
        <v>11</v>
      </c>
      <c r="K80" s="1">
        <v>630.68799999999999</v>
      </c>
      <c r="L80" s="3">
        <v>64752.79</v>
      </c>
      <c r="M80" s="2"/>
      <c r="N80" s="16"/>
      <c r="O80" s="1" t="s">
        <v>10</v>
      </c>
      <c r="P80" s="1">
        <v>105.9466</v>
      </c>
      <c r="Q80" s="1" t="s">
        <v>11</v>
      </c>
      <c r="R80" s="1">
        <v>596.81708600000002</v>
      </c>
      <c r="S80" s="1">
        <f t="shared" ref="S80:S87" si="2">R80*P80</f>
        <v>63230.741083607601</v>
      </c>
      <c r="T80" s="2">
        <v>46141.291666666664</v>
      </c>
    </row>
    <row r="81" spans="1:20" x14ac:dyDescent="0.35">
      <c r="A81" s="1" t="s">
        <v>12</v>
      </c>
      <c r="B81" s="1">
        <v>146.09</v>
      </c>
      <c r="C81" s="1" t="s">
        <v>11</v>
      </c>
      <c r="D81" s="1">
        <v>608.31234400000005</v>
      </c>
      <c r="E81" s="3">
        <v>88868.350334960007</v>
      </c>
      <c r="F81" s="2">
        <v>46091.895833333336</v>
      </c>
      <c r="H81" s="1" t="s">
        <v>12</v>
      </c>
      <c r="I81" s="1">
        <v>146.09</v>
      </c>
      <c r="J81" s="1" t="s">
        <v>11</v>
      </c>
      <c r="K81" s="1">
        <f>K80</f>
        <v>630.68799999999999</v>
      </c>
      <c r="L81" s="3">
        <f t="shared" ref="L81:L87" si="3">K81*I81</f>
        <v>92137.209919999994</v>
      </c>
      <c r="M81" s="2"/>
      <c r="N81" s="16"/>
      <c r="O81" s="1" t="s">
        <v>12</v>
      </c>
      <c r="P81" s="1">
        <v>146.09</v>
      </c>
      <c r="Q81" s="1" t="s">
        <v>11</v>
      </c>
      <c r="R81" s="1">
        <v>596.81708600000002</v>
      </c>
      <c r="S81" s="1">
        <f t="shared" si="2"/>
        <v>87189.008093740005</v>
      </c>
      <c r="T81" s="2">
        <v>46141.291666666664</v>
      </c>
    </row>
    <row r="82" spans="1:20" x14ac:dyDescent="0.35">
      <c r="A82" s="1" t="s">
        <v>13</v>
      </c>
      <c r="B82" s="1">
        <v>10.486000000000001</v>
      </c>
      <c r="C82" s="1" t="s">
        <v>14</v>
      </c>
      <c r="D82" s="1">
        <v>0</v>
      </c>
      <c r="E82" s="3">
        <v>0</v>
      </c>
      <c r="F82" s="1"/>
      <c r="H82" s="1" t="s">
        <v>13</v>
      </c>
      <c r="I82" s="1">
        <v>10.486000000000001</v>
      </c>
      <c r="J82" s="1" t="s">
        <v>14</v>
      </c>
      <c r="K82" s="1">
        <v>0</v>
      </c>
      <c r="L82" s="3">
        <f t="shared" si="3"/>
        <v>0</v>
      </c>
      <c r="M82" s="1"/>
      <c r="N82" s="16"/>
      <c r="O82" s="1" t="s">
        <v>13</v>
      </c>
      <c r="P82" s="1">
        <v>10.486000000000001</v>
      </c>
      <c r="Q82" s="1" t="s">
        <v>14</v>
      </c>
      <c r="R82" s="1">
        <v>0</v>
      </c>
      <c r="S82" s="1">
        <f t="shared" si="2"/>
        <v>0</v>
      </c>
      <c r="T82" s="1"/>
    </row>
    <row r="83" spans="1:20" x14ac:dyDescent="0.35">
      <c r="A83" s="1" t="s">
        <v>15</v>
      </c>
      <c r="B83" s="1">
        <v>3.415</v>
      </c>
      <c r="C83" s="1" t="s">
        <v>14</v>
      </c>
      <c r="D83" s="1">
        <v>42599.81</v>
      </c>
      <c r="E83" s="3">
        <v>145478.35115</v>
      </c>
      <c r="F83" s="1"/>
      <c r="H83" s="1" t="s">
        <v>15</v>
      </c>
      <c r="I83" s="1">
        <v>3.415</v>
      </c>
      <c r="J83" s="1" t="s">
        <v>14</v>
      </c>
      <c r="K83" s="1">
        <v>43357.2</v>
      </c>
      <c r="L83" s="3">
        <f t="shared" si="3"/>
        <v>148064.83799999999</v>
      </c>
      <c r="M83" s="1"/>
      <c r="N83" s="16"/>
      <c r="O83" s="1" t="s">
        <v>15</v>
      </c>
      <c r="P83" s="1">
        <v>3.415</v>
      </c>
      <c r="Q83" s="1" t="s">
        <v>14</v>
      </c>
      <c r="R83" s="1">
        <v>41631.11</v>
      </c>
      <c r="S83" s="1">
        <f t="shared" si="2"/>
        <v>142170.24064999999</v>
      </c>
      <c r="T83" s="1"/>
    </row>
    <row r="84" spans="1:20" x14ac:dyDescent="0.35">
      <c r="A84" s="1" t="s">
        <v>16</v>
      </c>
      <c r="B84" s="1">
        <v>3.036</v>
      </c>
      <c r="C84" s="1" t="s">
        <v>14</v>
      </c>
      <c r="D84" s="1">
        <v>0</v>
      </c>
      <c r="E84" s="3">
        <v>0</v>
      </c>
      <c r="F84" s="1"/>
      <c r="H84" s="1" t="s">
        <v>16</v>
      </c>
      <c r="I84" s="1">
        <v>3.036</v>
      </c>
      <c r="J84" s="1" t="s">
        <v>14</v>
      </c>
      <c r="K84" s="1">
        <v>0</v>
      </c>
      <c r="L84" s="3">
        <f t="shared" si="3"/>
        <v>0</v>
      </c>
      <c r="M84" s="1"/>
      <c r="N84" s="16"/>
      <c r="O84" s="1" t="s">
        <v>16</v>
      </c>
      <c r="P84" s="1">
        <v>3.036</v>
      </c>
      <c r="Q84" s="1" t="s">
        <v>14</v>
      </c>
      <c r="R84" s="1">
        <v>0</v>
      </c>
      <c r="S84" s="1">
        <f t="shared" si="2"/>
        <v>0</v>
      </c>
      <c r="T84" s="1"/>
    </row>
    <row r="85" spans="1:20" x14ac:dyDescent="0.35">
      <c r="A85" s="1" t="s">
        <v>17</v>
      </c>
      <c r="B85" s="1">
        <v>2.2309999999999999</v>
      </c>
      <c r="C85" s="1" t="s">
        <v>14</v>
      </c>
      <c r="D85" s="1">
        <v>92221.79</v>
      </c>
      <c r="E85" s="3">
        <v>205746.81349</v>
      </c>
      <c r="F85" s="1"/>
      <c r="H85" s="1" t="s">
        <v>17</v>
      </c>
      <c r="I85" s="1">
        <v>2.2309999999999999</v>
      </c>
      <c r="J85" s="1" t="s">
        <v>14</v>
      </c>
      <c r="K85" s="1">
        <v>94513.198999999993</v>
      </c>
      <c r="L85" s="3">
        <f t="shared" si="3"/>
        <v>210858.94696899998</v>
      </c>
      <c r="M85" s="1"/>
      <c r="N85" s="16"/>
      <c r="O85" s="1" t="s">
        <v>17</v>
      </c>
      <c r="P85" s="1">
        <v>2.2309999999999999</v>
      </c>
      <c r="Q85" s="1" t="s">
        <v>14</v>
      </c>
      <c r="R85" s="1">
        <v>95711.720000000103</v>
      </c>
      <c r="S85" s="1">
        <f t="shared" si="2"/>
        <v>213532.8473200002</v>
      </c>
      <c r="T85" s="1"/>
    </row>
    <row r="86" spans="1:20" x14ac:dyDescent="0.35">
      <c r="A86" s="1" t="s">
        <v>18</v>
      </c>
      <c r="B86" s="1">
        <v>1.8480000000000001</v>
      </c>
      <c r="C86" s="1" t="s">
        <v>14</v>
      </c>
      <c r="D86" s="1">
        <v>0</v>
      </c>
      <c r="E86" s="3">
        <v>0</v>
      </c>
      <c r="F86" s="1"/>
      <c r="H86" s="1" t="s">
        <v>18</v>
      </c>
      <c r="I86" s="1">
        <v>1.8480000000000001</v>
      </c>
      <c r="J86" s="1" t="s">
        <v>14</v>
      </c>
      <c r="K86" s="1">
        <v>0</v>
      </c>
      <c r="L86" s="3">
        <f t="shared" si="3"/>
        <v>0</v>
      </c>
      <c r="M86" s="1"/>
      <c r="N86" s="16"/>
      <c r="O86" s="1" t="s">
        <v>18</v>
      </c>
      <c r="P86" s="1">
        <v>1.8480000000000001</v>
      </c>
      <c r="Q86" s="1" t="s">
        <v>14</v>
      </c>
      <c r="R86" s="1">
        <v>0</v>
      </c>
      <c r="S86" s="1">
        <f t="shared" si="2"/>
        <v>0</v>
      </c>
      <c r="T86" s="1"/>
    </row>
    <row r="87" spans="1:20" x14ac:dyDescent="0.35">
      <c r="A87" s="1" t="s">
        <v>19</v>
      </c>
      <c r="B87" s="1">
        <v>1.6930000000000001</v>
      </c>
      <c r="C87" s="1" t="s">
        <v>14</v>
      </c>
      <c r="D87" s="1">
        <v>117336</v>
      </c>
      <c r="E87" s="3">
        <v>198649.848</v>
      </c>
      <c r="F87" s="1"/>
      <c r="H87" s="1" t="s">
        <v>19</v>
      </c>
      <c r="I87" s="1">
        <v>1.6930000000000001</v>
      </c>
      <c r="J87" s="1" t="s">
        <v>14</v>
      </c>
      <c r="K87" s="1">
        <v>122659.2</v>
      </c>
      <c r="L87" s="3">
        <f t="shared" si="3"/>
        <v>207662.02559999999</v>
      </c>
      <c r="M87" s="1"/>
      <c r="N87" s="16"/>
      <c r="O87" s="1" t="s">
        <v>19</v>
      </c>
      <c r="P87" s="1">
        <v>1.6930000000000001</v>
      </c>
      <c r="Q87" s="1" t="s">
        <v>14</v>
      </c>
      <c r="R87" s="1">
        <v>139319.34</v>
      </c>
      <c r="S87" s="1">
        <f t="shared" si="2"/>
        <v>235867.64262</v>
      </c>
      <c r="T87" s="1"/>
    </row>
    <row r="88" spans="1:20" x14ac:dyDescent="0.35">
      <c r="A88" s="1" t="s">
        <v>22</v>
      </c>
      <c r="B88" s="1"/>
      <c r="C88" s="1"/>
      <c r="D88" s="1"/>
      <c r="E88" s="3">
        <v>708399.07755978999</v>
      </c>
      <c r="F88" s="1"/>
      <c r="H88" s="1" t="s">
        <v>22</v>
      </c>
      <c r="I88" s="1"/>
      <c r="J88" s="1"/>
      <c r="K88" s="1"/>
      <c r="L88" s="3">
        <f>SUM(L79:L87)</f>
        <v>728682.90048899991</v>
      </c>
      <c r="M88" s="1"/>
      <c r="O88" s="1" t="s">
        <v>22</v>
      </c>
      <c r="P88" s="1"/>
      <c r="Q88" s="1"/>
      <c r="R88" s="1"/>
      <c r="S88" s="1">
        <f>SUM(S79:S87)</f>
        <v>747197.56976734777</v>
      </c>
      <c r="T88" s="1"/>
    </row>
    <row r="90" spans="1:20" x14ac:dyDescent="0.35">
      <c r="A90" s="7" t="s">
        <v>26</v>
      </c>
      <c r="B90" s="7" t="s">
        <v>3</v>
      </c>
      <c r="C90" s="7" t="s">
        <v>4</v>
      </c>
      <c r="D90" s="7" t="s">
        <v>5</v>
      </c>
      <c r="E90" s="7" t="s">
        <v>6</v>
      </c>
      <c r="H90" s="7" t="s">
        <v>26</v>
      </c>
      <c r="I90" s="7" t="s">
        <v>3</v>
      </c>
      <c r="J90" s="7" t="s">
        <v>4</v>
      </c>
      <c r="K90" s="7" t="s">
        <v>5</v>
      </c>
      <c r="L90" s="7" t="s">
        <v>6</v>
      </c>
    </row>
    <row r="91" spans="1:20" x14ac:dyDescent="0.35">
      <c r="A91" s="1" t="s">
        <v>27</v>
      </c>
      <c r="B91" s="3">
        <v>49.11</v>
      </c>
      <c r="C91" s="1" t="s">
        <v>28</v>
      </c>
      <c r="D91" s="8">
        <v>191</v>
      </c>
      <c r="E91" s="9">
        <f>D91*B91</f>
        <v>9380.01</v>
      </c>
      <c r="H91" s="1" t="s">
        <v>27</v>
      </c>
      <c r="I91" s="3">
        <v>49.11</v>
      </c>
      <c r="J91" s="1" t="s">
        <v>28</v>
      </c>
      <c r="K91" s="8">
        <v>178</v>
      </c>
      <c r="L91" s="9">
        <f>K91*I91</f>
        <v>8741.58</v>
      </c>
    </row>
    <row r="92" spans="1:20" x14ac:dyDescent="0.35">
      <c r="A92" s="1" t="s">
        <v>29</v>
      </c>
      <c r="B92" s="3">
        <v>18.91</v>
      </c>
      <c r="C92" s="1" t="s">
        <v>28</v>
      </c>
      <c r="D92" s="8">
        <f>D91</f>
        <v>191</v>
      </c>
      <c r="E92" s="9">
        <f>D92*B92</f>
        <v>3611.81</v>
      </c>
      <c r="H92" s="1" t="s">
        <v>29</v>
      </c>
      <c r="I92" s="3">
        <v>18.91</v>
      </c>
      <c r="J92" s="1" t="s">
        <v>28</v>
      </c>
      <c r="K92" s="8">
        <f>K91</f>
        <v>178</v>
      </c>
      <c r="L92" s="9">
        <f>K92*I92</f>
        <v>3365.98</v>
      </c>
    </row>
    <row r="93" spans="1:20" x14ac:dyDescent="0.35">
      <c r="A93" s="4" t="s">
        <v>30</v>
      </c>
      <c r="B93" s="1"/>
      <c r="C93" s="1"/>
      <c r="D93" s="1"/>
      <c r="E93" s="10">
        <f>SUM(E91:E92)</f>
        <v>12991.82</v>
      </c>
      <c r="H93" s="4" t="s">
        <v>30</v>
      </c>
      <c r="I93" s="1"/>
      <c r="J93" s="1"/>
      <c r="K93" s="1"/>
      <c r="L93" s="10">
        <f>SUM(L91:L92)</f>
        <v>12107.56</v>
      </c>
    </row>
    <row r="95" spans="1:20" x14ac:dyDescent="0.35">
      <c r="A95" s="177" t="s">
        <v>31</v>
      </c>
      <c r="B95" s="178"/>
      <c r="C95" s="178"/>
      <c r="D95" s="179"/>
      <c r="E95" s="11">
        <f>E93+E88</f>
        <v>721390.89755978994</v>
      </c>
      <c r="H95" s="177" t="s">
        <v>31</v>
      </c>
      <c r="I95" s="178"/>
      <c r="J95" s="178"/>
      <c r="K95" s="179"/>
      <c r="L95" s="11">
        <f>L93+L88</f>
        <v>740790.46048899996</v>
      </c>
    </row>
    <row r="98" spans="1:15" x14ac:dyDescent="0.35">
      <c r="A98" s="182">
        <v>46143</v>
      </c>
      <c r="B98" s="183"/>
      <c r="C98" s="183"/>
      <c r="D98" s="183"/>
      <c r="E98" s="183"/>
      <c r="F98" s="183"/>
      <c r="H98" s="182">
        <v>46174</v>
      </c>
      <c r="I98" s="183"/>
      <c r="J98" s="183"/>
      <c r="K98" s="183"/>
      <c r="L98" s="183"/>
      <c r="M98" s="183"/>
    </row>
    <row r="99" spans="1:15" x14ac:dyDescent="0.35">
      <c r="A99" s="1" t="s">
        <v>0</v>
      </c>
      <c r="B99" s="1"/>
      <c r="C99" s="1"/>
      <c r="D99" s="1"/>
      <c r="E99" s="1"/>
      <c r="F99" s="1"/>
      <c r="H99" s="1" t="s">
        <v>0</v>
      </c>
      <c r="I99" s="1"/>
      <c r="J99" s="1"/>
      <c r="K99" s="1"/>
      <c r="L99" s="1"/>
      <c r="M99" s="1"/>
    </row>
    <row r="100" spans="1:15" x14ac:dyDescent="0.35">
      <c r="A100" s="1" t="s">
        <v>39</v>
      </c>
      <c r="B100" s="1"/>
      <c r="C100" s="1"/>
      <c r="D100" s="1"/>
      <c r="E100" s="1"/>
      <c r="F100" s="1"/>
      <c r="H100" s="1" t="s">
        <v>40</v>
      </c>
      <c r="I100" s="1"/>
      <c r="J100" s="1"/>
      <c r="K100" s="1"/>
      <c r="L100" s="1"/>
      <c r="M100" s="1"/>
    </row>
    <row r="101" spans="1:15" x14ac:dyDescent="0.35">
      <c r="A101" s="1" t="s">
        <v>36</v>
      </c>
      <c r="B101" s="1"/>
      <c r="C101" s="1"/>
      <c r="D101" s="1"/>
      <c r="E101" s="1"/>
      <c r="F101" s="1"/>
      <c r="H101" s="1" t="s">
        <v>36</v>
      </c>
      <c r="I101" s="1"/>
      <c r="J101" s="1"/>
      <c r="K101" s="1"/>
      <c r="L101" s="1"/>
      <c r="M101" s="1"/>
    </row>
    <row r="102" spans="1:15" x14ac:dyDescent="0.35">
      <c r="A102" s="1" t="s">
        <v>2</v>
      </c>
      <c r="B102" s="1" t="s">
        <v>3</v>
      </c>
      <c r="C102" s="1" t="s">
        <v>4</v>
      </c>
      <c r="D102" s="1" t="s">
        <v>5</v>
      </c>
      <c r="E102" s="1" t="s">
        <v>6</v>
      </c>
      <c r="F102" s="1" t="s">
        <v>7</v>
      </c>
      <c r="H102" s="1" t="s">
        <v>2</v>
      </c>
      <c r="I102" s="1" t="s">
        <v>3</v>
      </c>
      <c r="J102" s="1" t="s">
        <v>4</v>
      </c>
      <c r="K102" s="1" t="s">
        <v>5</v>
      </c>
      <c r="L102" s="1" t="s">
        <v>6</v>
      </c>
      <c r="M102" s="1" t="s">
        <v>7</v>
      </c>
    </row>
    <row r="103" spans="1:15" x14ac:dyDescent="0.35">
      <c r="A103" s="1" t="s">
        <v>8</v>
      </c>
      <c r="B103" s="1">
        <v>5207.09</v>
      </c>
      <c r="C103" s="1" t="s">
        <v>9</v>
      </c>
      <c r="D103" s="1">
        <v>1</v>
      </c>
      <c r="E103" s="1">
        <v>5207.09</v>
      </c>
      <c r="F103" s="1"/>
      <c r="H103" s="1" t="s">
        <v>8</v>
      </c>
      <c r="I103" s="1">
        <v>5207.09</v>
      </c>
      <c r="J103" s="1" t="s">
        <v>9</v>
      </c>
      <c r="K103" s="1">
        <v>1</v>
      </c>
      <c r="L103" s="1">
        <v>5207.09</v>
      </c>
      <c r="M103" s="1"/>
    </row>
    <row r="104" spans="1:15" x14ac:dyDescent="0.35">
      <c r="A104" s="1" t="s">
        <v>10</v>
      </c>
      <c r="B104" s="1">
        <v>105.9466</v>
      </c>
      <c r="C104" s="1" t="s">
        <v>11</v>
      </c>
      <c r="D104" s="1">
        <v>594.15233000000001</v>
      </c>
      <c r="E104" s="1">
        <v>62948.419245577999</v>
      </c>
      <c r="F104" s="2">
        <v>46149.895833333336</v>
      </c>
      <c r="H104" s="1" t="s">
        <v>10</v>
      </c>
      <c r="I104" s="1">
        <v>105.9466</v>
      </c>
      <c r="J104" s="1" t="s">
        <v>11</v>
      </c>
      <c r="K104" s="1">
        <v>580.19122400000003</v>
      </c>
      <c r="L104" s="1">
        <v>61469.287532638402</v>
      </c>
      <c r="M104" s="2">
        <v>46177.895833333336</v>
      </c>
      <c r="N104" s="197">
        <v>602.63400000000001</v>
      </c>
      <c r="O104">
        <f t="shared" ref="O104:O109" si="4">N104/K104</f>
        <v>1.0386816881601091</v>
      </c>
    </row>
    <row r="105" spans="1:15" x14ac:dyDescent="0.35">
      <c r="A105" s="1" t="s">
        <v>12</v>
      </c>
      <c r="B105" s="1">
        <v>146.09</v>
      </c>
      <c r="C105" s="1" t="s">
        <v>11</v>
      </c>
      <c r="D105" s="1">
        <v>594.15233000000001</v>
      </c>
      <c r="E105" s="1">
        <v>86799.713889699997</v>
      </c>
      <c r="F105" s="2">
        <v>46149.895833333336</v>
      </c>
      <c r="H105" s="1" t="s">
        <v>12</v>
      </c>
      <c r="I105" s="1">
        <v>146.09</v>
      </c>
      <c r="J105" s="1" t="s">
        <v>11</v>
      </c>
      <c r="K105" s="1">
        <v>580.19122400000003</v>
      </c>
      <c r="L105" s="1">
        <v>84760.135914159997</v>
      </c>
      <c r="M105" s="2">
        <v>46177.895833333336</v>
      </c>
    </row>
    <row r="106" spans="1:15" x14ac:dyDescent="0.35">
      <c r="A106" s="1" t="s">
        <v>13</v>
      </c>
      <c r="B106" s="1">
        <v>10.486000000000001</v>
      </c>
      <c r="C106" s="1" t="s">
        <v>14</v>
      </c>
      <c r="D106" s="1">
        <v>0</v>
      </c>
      <c r="E106" s="1">
        <v>0</v>
      </c>
      <c r="F106" s="1"/>
      <c r="H106" s="1" t="s">
        <v>13</v>
      </c>
      <c r="I106" s="1">
        <v>10.486000000000001</v>
      </c>
      <c r="J106" s="1" t="s">
        <v>14</v>
      </c>
      <c r="K106" s="1">
        <v>41161.79</v>
      </c>
      <c r="L106" s="1">
        <v>431622.52993999998</v>
      </c>
      <c r="M106" s="1"/>
      <c r="N106" s="197">
        <v>41880</v>
      </c>
      <c r="O106">
        <f t="shared" si="4"/>
        <v>1.0174484637329912</v>
      </c>
    </row>
    <row r="107" spans="1:15" x14ac:dyDescent="0.35">
      <c r="A107" s="1" t="s">
        <v>15</v>
      </c>
      <c r="B107" s="1">
        <v>3.415</v>
      </c>
      <c r="C107" s="1" t="s">
        <v>14</v>
      </c>
      <c r="D107" s="1">
        <v>45649.32</v>
      </c>
      <c r="E107" s="1">
        <v>155892.4278</v>
      </c>
      <c r="F107" s="1"/>
      <c r="H107" s="1" t="s">
        <v>15</v>
      </c>
      <c r="I107" s="1">
        <v>3.415</v>
      </c>
      <c r="J107" s="1" t="s">
        <v>14</v>
      </c>
      <c r="K107" s="1">
        <v>0</v>
      </c>
      <c r="L107" s="1">
        <v>0</v>
      </c>
      <c r="M107" s="1"/>
    </row>
    <row r="108" spans="1:15" x14ac:dyDescent="0.35">
      <c r="A108" s="1" t="s">
        <v>16</v>
      </c>
      <c r="B108" s="1">
        <v>3.036</v>
      </c>
      <c r="C108" s="1" t="s">
        <v>14</v>
      </c>
      <c r="D108" s="1">
        <v>0</v>
      </c>
      <c r="E108" s="1">
        <v>0</v>
      </c>
      <c r="F108" s="1"/>
      <c r="H108" s="1" t="s">
        <v>16</v>
      </c>
      <c r="I108" s="1">
        <v>3.036</v>
      </c>
      <c r="J108" s="1" t="s">
        <v>14</v>
      </c>
      <c r="K108" s="1">
        <v>93587.110000000102</v>
      </c>
      <c r="L108" s="1">
        <v>284130.46596</v>
      </c>
      <c r="M108" s="1"/>
      <c r="N108" s="197">
        <v>95230.8</v>
      </c>
      <c r="O108">
        <f t="shared" si="4"/>
        <v>1.0175632092923896</v>
      </c>
    </row>
    <row r="109" spans="1:15" x14ac:dyDescent="0.35">
      <c r="A109" s="1" t="s">
        <v>17</v>
      </c>
      <c r="B109" s="1">
        <v>2.2309999999999999</v>
      </c>
      <c r="C109" s="1" t="s">
        <v>14</v>
      </c>
      <c r="D109" s="1">
        <v>103848.27</v>
      </c>
      <c r="E109" s="1">
        <v>231685.49037000001</v>
      </c>
      <c r="F109" s="1"/>
      <c r="H109" s="1" t="s">
        <v>17</v>
      </c>
      <c r="I109" s="1">
        <v>2.2309999999999999</v>
      </c>
      <c r="J109" s="1" t="s">
        <v>14</v>
      </c>
      <c r="K109" s="1">
        <v>0</v>
      </c>
      <c r="L109" s="1">
        <v>0</v>
      </c>
      <c r="M109" s="1"/>
    </row>
    <row r="110" spans="1:15" x14ac:dyDescent="0.35">
      <c r="A110" s="1" t="s">
        <v>18</v>
      </c>
      <c r="B110" s="1">
        <v>1.8480000000000001</v>
      </c>
      <c r="C110" s="1" t="s">
        <v>14</v>
      </c>
      <c r="D110" s="1">
        <v>0</v>
      </c>
      <c r="E110" s="1">
        <v>0</v>
      </c>
      <c r="F110" s="1"/>
      <c r="H110" s="1" t="s">
        <v>18</v>
      </c>
      <c r="I110" s="1">
        <v>1.8480000000000001</v>
      </c>
      <c r="J110" s="1" t="s">
        <v>14</v>
      </c>
      <c r="K110" s="1">
        <v>114716.57</v>
      </c>
      <c r="L110" s="1">
        <v>211996.22136</v>
      </c>
      <c r="M110" s="1"/>
      <c r="N110" s="197">
        <v>116686.8</v>
      </c>
      <c r="O110">
        <f>N110/K110</f>
        <v>1.0171747638549513</v>
      </c>
    </row>
    <row r="111" spans="1:15" x14ac:dyDescent="0.35">
      <c r="A111" s="1" t="s">
        <v>19</v>
      </c>
      <c r="B111" s="1">
        <v>1.6930000000000001</v>
      </c>
      <c r="C111" s="1" t="s">
        <v>14</v>
      </c>
      <c r="D111" s="1">
        <v>139985.44</v>
      </c>
      <c r="E111" s="1">
        <v>236995.34992000001</v>
      </c>
      <c r="F111" s="1"/>
      <c r="H111" s="1" t="s">
        <v>19</v>
      </c>
      <c r="I111" s="1">
        <v>1.6930000000000001</v>
      </c>
      <c r="J111" s="1" t="s">
        <v>14</v>
      </c>
      <c r="K111" s="1">
        <v>0</v>
      </c>
      <c r="L111" s="1">
        <v>0</v>
      </c>
      <c r="M111" s="1"/>
    </row>
    <row r="112" spans="1:15" x14ac:dyDescent="0.35">
      <c r="A112" s="1" t="s">
        <v>22</v>
      </c>
      <c r="B112" s="1"/>
      <c r="C112" s="1"/>
      <c r="D112" s="1"/>
      <c r="E112" s="1">
        <v>779528.49122527801</v>
      </c>
      <c r="F112" s="1"/>
      <c r="H112" s="1" t="s">
        <v>22</v>
      </c>
      <c r="I112" s="1"/>
      <c r="J112" s="1"/>
      <c r="K112" s="1"/>
      <c r="L112" s="1">
        <v>1079185.7307068</v>
      </c>
      <c r="M112" s="1"/>
    </row>
    <row r="114" spans="1:6" x14ac:dyDescent="0.35">
      <c r="A114" s="182">
        <v>46204</v>
      </c>
      <c r="B114" s="183"/>
      <c r="C114" s="183"/>
      <c r="D114" s="183"/>
      <c r="E114" s="183"/>
      <c r="F114" s="183"/>
    </row>
    <row r="115" spans="1:6" x14ac:dyDescent="0.35">
      <c r="A115" s="1" t="s">
        <v>0</v>
      </c>
      <c r="B115" s="1"/>
      <c r="C115" s="1"/>
      <c r="D115" s="1"/>
      <c r="E115" s="1"/>
      <c r="F115" s="1"/>
    </row>
    <row r="116" spans="1:6" x14ac:dyDescent="0.35">
      <c r="A116" s="1" t="s">
        <v>41</v>
      </c>
      <c r="B116" s="1"/>
      <c r="C116" s="1"/>
      <c r="D116" s="1"/>
      <c r="E116" s="1"/>
      <c r="F116" s="1"/>
    </row>
    <row r="117" spans="1:6" x14ac:dyDescent="0.35">
      <c r="A117" s="1" t="s">
        <v>36</v>
      </c>
      <c r="B117" s="1"/>
      <c r="C117" s="1"/>
      <c r="D117" s="1"/>
      <c r="E117" s="1"/>
      <c r="F117" s="1"/>
    </row>
    <row r="118" spans="1:6" x14ac:dyDescent="0.35">
      <c r="A118" s="1" t="s">
        <v>2</v>
      </c>
      <c r="B118" s="1" t="s">
        <v>3</v>
      </c>
      <c r="C118" s="1" t="s">
        <v>4</v>
      </c>
      <c r="D118" s="1" t="s">
        <v>5</v>
      </c>
      <c r="E118" s="1" t="s">
        <v>6</v>
      </c>
      <c r="F118" s="1" t="s">
        <v>7</v>
      </c>
    </row>
    <row r="119" spans="1:6" x14ac:dyDescent="0.35">
      <c r="A119" s="1" t="s">
        <v>8</v>
      </c>
      <c r="B119" s="1">
        <v>5676.25</v>
      </c>
      <c r="C119" s="1" t="s">
        <v>9</v>
      </c>
      <c r="D119" s="1">
        <v>1</v>
      </c>
      <c r="E119" s="1">
        <v>5676.25</v>
      </c>
      <c r="F119" s="1"/>
    </row>
    <row r="120" spans="1:6" x14ac:dyDescent="0.35">
      <c r="A120" s="1" t="s">
        <v>10</v>
      </c>
      <c r="B120" s="1">
        <v>112.25</v>
      </c>
      <c r="C120" s="1" t="s">
        <v>11</v>
      </c>
      <c r="D120" s="1">
        <v>605.18669999999997</v>
      </c>
      <c r="E120" s="1">
        <v>67932.207074999998</v>
      </c>
      <c r="F120" s="2">
        <v>46218.916666666664</v>
      </c>
    </row>
    <row r="121" spans="1:6" x14ac:dyDescent="0.35">
      <c r="A121" s="1" t="s">
        <v>12</v>
      </c>
      <c r="B121" s="1">
        <v>159.25</v>
      </c>
      <c r="C121" s="1" t="s">
        <v>11</v>
      </c>
      <c r="D121" s="1">
        <v>605.18669999999997</v>
      </c>
      <c r="E121" s="1">
        <v>96375.981975000002</v>
      </c>
      <c r="F121" s="2">
        <v>46218.916666666664</v>
      </c>
    </row>
    <row r="122" spans="1:6" x14ac:dyDescent="0.35">
      <c r="A122" s="1" t="s">
        <v>13</v>
      </c>
      <c r="B122" s="1">
        <v>11.4354</v>
      </c>
      <c r="C122" s="1" t="s">
        <v>14</v>
      </c>
      <c r="D122" s="1">
        <v>53949.87</v>
      </c>
      <c r="E122" s="1">
        <v>616938.343398</v>
      </c>
      <c r="F122" s="1"/>
    </row>
    <row r="123" spans="1:6" x14ac:dyDescent="0.35">
      <c r="A123" s="1" t="s">
        <v>15</v>
      </c>
      <c r="B123" s="1">
        <v>3.7227000000000001</v>
      </c>
      <c r="C123" s="1" t="s">
        <v>14</v>
      </c>
      <c r="D123" s="1">
        <v>0</v>
      </c>
      <c r="E123" s="1">
        <v>0</v>
      </c>
      <c r="F123" s="1"/>
    </row>
    <row r="124" spans="1:6" x14ac:dyDescent="0.35">
      <c r="A124" s="1" t="s">
        <v>16</v>
      </c>
      <c r="B124" s="1">
        <v>3.3142</v>
      </c>
      <c r="C124" s="1" t="s">
        <v>14</v>
      </c>
      <c r="D124" s="1">
        <v>115517.63</v>
      </c>
      <c r="E124" s="1">
        <v>382848.529346</v>
      </c>
      <c r="F124" s="1"/>
    </row>
    <row r="125" spans="1:6" x14ac:dyDescent="0.35">
      <c r="A125" s="1" t="s">
        <v>17</v>
      </c>
      <c r="B125" s="1">
        <v>2.4323999999999999</v>
      </c>
      <c r="C125" s="1" t="s">
        <v>14</v>
      </c>
      <c r="D125" s="1">
        <v>0</v>
      </c>
      <c r="E125" s="1">
        <v>0</v>
      </c>
      <c r="F125" s="1"/>
    </row>
    <row r="126" spans="1:6" x14ac:dyDescent="0.35">
      <c r="A126" s="1" t="s">
        <v>18</v>
      </c>
      <c r="B126" s="1">
        <v>2.0286</v>
      </c>
      <c r="C126" s="1" t="s">
        <v>14</v>
      </c>
      <c r="D126" s="1">
        <v>137846.07999999999</v>
      </c>
      <c r="E126" s="1">
        <v>279634.55788799998</v>
      </c>
      <c r="F126" s="1"/>
    </row>
    <row r="127" spans="1:6" x14ac:dyDescent="0.35">
      <c r="A127" s="1" t="s">
        <v>19</v>
      </c>
      <c r="B127" s="1">
        <v>1.8451</v>
      </c>
      <c r="C127" s="1" t="s">
        <v>14</v>
      </c>
      <c r="D127" s="1">
        <v>0</v>
      </c>
      <c r="E127" s="1">
        <v>0</v>
      </c>
      <c r="F127" s="1"/>
    </row>
    <row r="128" spans="1:6" x14ac:dyDescent="0.35">
      <c r="A128" s="1" t="s">
        <v>22</v>
      </c>
      <c r="B128" s="1"/>
      <c r="C128" s="1"/>
      <c r="D128" s="1"/>
      <c r="E128" s="1">
        <v>1449405.869682</v>
      </c>
      <c r="F128" s="1"/>
    </row>
    <row r="130" spans="1:5" x14ac:dyDescent="0.35">
      <c r="A130" s="7" t="s">
        <v>26</v>
      </c>
      <c r="B130" s="7" t="s">
        <v>3</v>
      </c>
      <c r="C130" s="7" t="s">
        <v>4</v>
      </c>
      <c r="D130" s="7" t="s">
        <v>5</v>
      </c>
      <c r="E130" s="7" t="s">
        <v>6</v>
      </c>
    </row>
    <row r="131" spans="1:5" x14ac:dyDescent="0.35">
      <c r="A131" s="1" t="s">
        <v>27</v>
      </c>
      <c r="B131" s="3">
        <f>Tariffs!D15</f>
        <v>54.51</v>
      </c>
      <c r="C131" s="1" t="s">
        <v>28</v>
      </c>
      <c r="D131" s="8">
        <v>197.61</v>
      </c>
      <c r="E131" s="9">
        <f>D131*B131</f>
        <v>10771.721100000001</v>
      </c>
    </row>
    <row r="132" spans="1:5" x14ac:dyDescent="0.35">
      <c r="A132" s="1" t="s">
        <v>29</v>
      </c>
      <c r="B132" s="3">
        <f>Tariffs!D21</f>
        <v>22.07</v>
      </c>
      <c r="C132" s="1" t="s">
        <v>28</v>
      </c>
      <c r="D132" s="8">
        <f>D131</f>
        <v>197.61</v>
      </c>
      <c r="E132" s="9">
        <f>D132*B132</f>
        <v>4361.2527</v>
      </c>
    </row>
    <row r="133" spans="1:5" x14ac:dyDescent="0.35">
      <c r="A133" s="4" t="s">
        <v>30</v>
      </c>
      <c r="B133" s="1"/>
      <c r="C133" s="1"/>
      <c r="D133" s="1"/>
      <c r="E133" s="10">
        <f>SUM(E131:E132)</f>
        <v>15132.9738</v>
      </c>
    </row>
    <row r="135" spans="1:5" x14ac:dyDescent="0.35">
      <c r="A135" s="177" t="s">
        <v>31</v>
      </c>
      <c r="B135" s="178"/>
      <c r="C135" s="178"/>
      <c r="D135" s="179"/>
      <c r="E135" s="11">
        <f>E133+E128</f>
        <v>1464538.8434820001</v>
      </c>
    </row>
  </sheetData>
  <mergeCells count="22">
    <mergeCell ref="A114:F114"/>
    <mergeCell ref="A135:D135"/>
    <mergeCell ref="V49:Y49"/>
    <mergeCell ref="Z49:AA49"/>
    <mergeCell ref="V70:Y70"/>
    <mergeCell ref="O70:R70"/>
    <mergeCell ref="A98:F98"/>
    <mergeCell ref="A74:F74"/>
    <mergeCell ref="A49:F49"/>
    <mergeCell ref="O49:T49"/>
    <mergeCell ref="O74:T74"/>
    <mergeCell ref="L74:M74"/>
    <mergeCell ref="H74:K74"/>
    <mergeCell ref="A95:D95"/>
    <mergeCell ref="H95:K95"/>
    <mergeCell ref="H98:M98"/>
    <mergeCell ref="A1:F1"/>
    <mergeCell ref="O1:T1"/>
    <mergeCell ref="A17:F17"/>
    <mergeCell ref="O17:T17"/>
    <mergeCell ref="A33:F33"/>
    <mergeCell ref="O33:T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12FC-85AD-4AEA-9938-4A8DE8668D97}">
  <dimension ref="B1:H26"/>
  <sheetViews>
    <sheetView topLeftCell="A8" workbookViewId="0">
      <selection activeCell="C5" sqref="C5"/>
    </sheetView>
  </sheetViews>
  <sheetFormatPr defaultRowHeight="14.5" x14ac:dyDescent="0.35"/>
  <cols>
    <col min="2" max="2" width="21" bestFit="1" customWidth="1"/>
    <col min="3" max="3" width="21.90625" bestFit="1" customWidth="1"/>
    <col min="4" max="4" width="9.54296875" bestFit="1" customWidth="1"/>
    <col min="5" max="6" width="12.08984375" customWidth="1"/>
    <col min="7" max="7" width="12.08984375" bestFit="1" customWidth="1"/>
  </cols>
  <sheetData>
    <row r="1" spans="2:8" ht="15" thickBot="1" x14ac:dyDescent="0.4">
      <c r="B1" s="191" t="s">
        <v>64</v>
      </c>
      <c r="C1" s="192"/>
      <c r="D1" s="192"/>
      <c r="E1" s="192"/>
      <c r="F1" s="192"/>
      <c r="G1" s="193"/>
    </row>
    <row r="2" spans="2:8" ht="15" thickBot="1" x14ac:dyDescent="0.4">
      <c r="B2" s="32"/>
      <c r="C2" s="22"/>
      <c r="D2" s="23"/>
      <c r="E2" s="189" t="s">
        <v>52</v>
      </c>
      <c r="F2" s="190"/>
      <c r="G2" s="31" t="s">
        <v>53</v>
      </c>
    </row>
    <row r="3" spans="2:8" ht="15" thickBot="1" x14ac:dyDescent="0.4">
      <c r="B3" s="33" t="s">
        <v>60</v>
      </c>
      <c r="C3" s="34" t="s">
        <v>42</v>
      </c>
      <c r="D3" s="17" t="s">
        <v>43</v>
      </c>
      <c r="E3" s="26">
        <v>5694.3279000000002</v>
      </c>
      <c r="F3" s="26">
        <v>5207.09</v>
      </c>
      <c r="G3" s="26">
        <v>5676.25</v>
      </c>
    </row>
    <row r="4" spans="2:8" x14ac:dyDescent="0.35">
      <c r="B4" s="35" t="s">
        <v>72</v>
      </c>
      <c r="C4" s="36" t="s">
        <v>44</v>
      </c>
      <c r="D4" s="25" t="s">
        <v>11</v>
      </c>
      <c r="E4" s="27">
        <v>161.86080000000001</v>
      </c>
      <c r="F4" s="27">
        <v>146.09</v>
      </c>
      <c r="G4" s="27">
        <v>159.25</v>
      </c>
    </row>
    <row r="5" spans="2:8" ht="15" thickBot="1" x14ac:dyDescent="0.4">
      <c r="B5" s="37" t="s">
        <v>73</v>
      </c>
      <c r="C5" s="38" t="s">
        <v>45</v>
      </c>
      <c r="D5" s="24" t="s">
        <v>11</v>
      </c>
      <c r="E5" s="28">
        <v>107.5628</v>
      </c>
      <c r="F5" s="28">
        <v>105.9466</v>
      </c>
      <c r="G5" s="28">
        <v>105.33</v>
      </c>
      <c r="H5" s="13"/>
    </row>
    <row r="6" spans="2:8" x14ac:dyDescent="0.35">
      <c r="B6" s="35" t="s">
        <v>54</v>
      </c>
      <c r="C6" s="39" t="s">
        <v>46</v>
      </c>
      <c r="D6" s="25" t="s">
        <v>14</v>
      </c>
      <c r="E6" s="27">
        <v>10.678000000000001</v>
      </c>
      <c r="F6" s="27">
        <v>10.486000000000001</v>
      </c>
      <c r="G6" s="27">
        <v>11.4354</v>
      </c>
    </row>
    <row r="7" spans="2:8" x14ac:dyDescent="0.35">
      <c r="B7" s="40" t="s">
        <v>55</v>
      </c>
      <c r="C7" s="41" t="s">
        <v>48</v>
      </c>
      <c r="D7" s="19" t="s">
        <v>14</v>
      </c>
      <c r="E7" s="29">
        <v>3.0800999999999998</v>
      </c>
      <c r="F7" s="29">
        <v>3.036</v>
      </c>
      <c r="G7" s="29">
        <v>3.3142</v>
      </c>
    </row>
    <row r="8" spans="2:8" ht="15" thickBot="1" x14ac:dyDescent="0.4">
      <c r="B8" s="37" t="s">
        <v>56</v>
      </c>
      <c r="C8" s="42" t="s">
        <v>49</v>
      </c>
      <c r="D8" s="24" t="s">
        <v>14</v>
      </c>
      <c r="E8" s="28">
        <v>1.8822000000000001</v>
      </c>
      <c r="F8" s="28">
        <v>1.8480000000000001</v>
      </c>
      <c r="G8" s="28">
        <v>2.0286</v>
      </c>
    </row>
    <row r="9" spans="2:8" x14ac:dyDescent="0.35">
      <c r="B9" s="35" t="s">
        <v>57</v>
      </c>
      <c r="C9" s="43" t="s">
        <v>47</v>
      </c>
      <c r="D9" s="18" t="s">
        <v>14</v>
      </c>
      <c r="E9" s="30">
        <v>3.4765000000000001</v>
      </c>
      <c r="F9" s="30">
        <v>3.415</v>
      </c>
      <c r="G9" s="30">
        <v>3.7227000000000001</v>
      </c>
    </row>
    <row r="10" spans="2:8" x14ac:dyDescent="0.35">
      <c r="B10" s="40" t="s">
        <v>58</v>
      </c>
      <c r="C10" s="41" t="s">
        <v>50</v>
      </c>
      <c r="D10" s="19" t="s">
        <v>14</v>
      </c>
      <c r="E10" s="29">
        <v>2.2629999999999999</v>
      </c>
      <c r="F10" s="29">
        <v>2.2309999999999999</v>
      </c>
      <c r="G10" s="29">
        <v>2.4323999999999999</v>
      </c>
    </row>
    <row r="11" spans="2:8" ht="15" thickBot="1" x14ac:dyDescent="0.4">
      <c r="B11" s="37" t="s">
        <v>59</v>
      </c>
      <c r="C11" s="42" t="s">
        <v>51</v>
      </c>
      <c r="D11" s="24" t="s">
        <v>14</v>
      </c>
      <c r="E11" s="28">
        <v>1.7124999999999999</v>
      </c>
      <c r="F11" s="28">
        <v>1.6930000000000001</v>
      </c>
      <c r="G11" s="28">
        <v>1.8451</v>
      </c>
    </row>
    <row r="12" spans="2:8" ht="15" thickBot="1" x14ac:dyDescent="0.4"/>
    <row r="13" spans="2:8" ht="15" thickBot="1" x14ac:dyDescent="0.4">
      <c r="B13" s="194" t="s">
        <v>65</v>
      </c>
      <c r="C13" s="195"/>
      <c r="D13" s="196"/>
    </row>
    <row r="14" spans="2:8" x14ac:dyDescent="0.35">
      <c r="B14" s="44"/>
      <c r="C14" s="50" t="s">
        <v>52</v>
      </c>
      <c r="D14" s="47" t="s">
        <v>53</v>
      </c>
    </row>
    <row r="15" spans="2:8" x14ac:dyDescent="0.35">
      <c r="B15" s="45" t="s">
        <v>61</v>
      </c>
      <c r="C15" s="20">
        <v>49.11</v>
      </c>
      <c r="D15" s="48">
        <v>54.51</v>
      </c>
    </row>
    <row r="16" spans="2:8" x14ac:dyDescent="0.35">
      <c r="B16" s="45" t="s">
        <v>62</v>
      </c>
      <c r="C16" s="20">
        <v>49.88</v>
      </c>
      <c r="D16" s="48">
        <v>55.37</v>
      </c>
    </row>
    <row r="17" spans="2:4" ht="15" thickBot="1" x14ac:dyDescent="0.4">
      <c r="B17" s="46" t="s">
        <v>63</v>
      </c>
      <c r="C17" s="21">
        <v>52.05</v>
      </c>
      <c r="D17" s="49">
        <v>57.78</v>
      </c>
    </row>
    <row r="18" spans="2:4" ht="15" thickBot="1" x14ac:dyDescent="0.4"/>
    <row r="19" spans="2:4" ht="15" thickBot="1" x14ac:dyDescent="0.4">
      <c r="B19" s="194" t="s">
        <v>66</v>
      </c>
      <c r="C19" s="195"/>
      <c r="D19" s="196"/>
    </row>
    <row r="20" spans="2:4" x14ac:dyDescent="0.35">
      <c r="B20" s="44"/>
      <c r="C20" s="50" t="s">
        <v>52</v>
      </c>
      <c r="D20" s="47" t="s">
        <v>53</v>
      </c>
    </row>
    <row r="21" spans="2:4" x14ac:dyDescent="0.35">
      <c r="B21" s="45" t="s">
        <v>67</v>
      </c>
      <c r="C21" s="20">
        <v>18.91</v>
      </c>
      <c r="D21" s="48">
        <v>22.07</v>
      </c>
    </row>
    <row r="22" spans="2:4" x14ac:dyDescent="0.35">
      <c r="B22" s="45" t="s">
        <v>69</v>
      </c>
      <c r="C22" s="20">
        <v>0</v>
      </c>
      <c r="D22" s="48">
        <v>20.49</v>
      </c>
    </row>
    <row r="23" spans="2:4" x14ac:dyDescent="0.35">
      <c r="B23" s="45" t="s">
        <v>68</v>
      </c>
      <c r="C23" s="20">
        <v>10.09</v>
      </c>
      <c r="D23" s="48">
        <v>11.77</v>
      </c>
    </row>
    <row r="24" spans="2:4" x14ac:dyDescent="0.35">
      <c r="B24" s="45" t="s">
        <v>70</v>
      </c>
      <c r="C24" s="20">
        <v>0</v>
      </c>
      <c r="D24" s="48">
        <v>10.93</v>
      </c>
    </row>
    <row r="25" spans="2:4" x14ac:dyDescent="0.35">
      <c r="B25" s="45" t="s">
        <v>71</v>
      </c>
      <c r="C25" s="20">
        <v>6.56</v>
      </c>
      <c r="D25" s="48">
        <v>7.66</v>
      </c>
    </row>
    <row r="26" spans="2:4" x14ac:dyDescent="0.35">
      <c r="B26" s="45" t="str">
        <f>B25</f>
        <v>25001 - kL/month</v>
      </c>
      <c r="C26" s="20">
        <v>6.56</v>
      </c>
      <c r="D26" s="48">
        <v>7.11</v>
      </c>
    </row>
  </sheetData>
  <mergeCells count="4">
    <mergeCell ref="E2:F2"/>
    <mergeCell ref="B1:G1"/>
    <mergeCell ref="B13:D13"/>
    <mergeCell ref="B19:D19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E341-9458-4296-B69C-B550C05194D7}">
  <dimension ref="A1:AC109"/>
  <sheetViews>
    <sheetView topLeftCell="H43" zoomScale="55" zoomScaleNormal="55" workbookViewId="0">
      <selection activeCell="K61" sqref="K61"/>
    </sheetView>
  </sheetViews>
  <sheetFormatPr defaultColWidth="11.26953125" defaultRowHeight="14.5" x14ac:dyDescent="0.35"/>
  <cols>
    <col min="1" max="1" width="38.1796875" bestFit="1" customWidth="1"/>
    <col min="2" max="2" width="21.7265625" bestFit="1" customWidth="1"/>
    <col min="3" max="3" width="20.6328125" bestFit="1" customWidth="1"/>
    <col min="4" max="4" width="25.453125" bestFit="1" customWidth="1"/>
    <col min="5" max="5" width="17.1796875" bestFit="1" customWidth="1"/>
    <col min="6" max="6" width="19" bestFit="1" customWidth="1"/>
    <col min="7" max="7" width="25.453125" bestFit="1" customWidth="1"/>
    <col min="8" max="8" width="22.36328125" bestFit="1" customWidth="1"/>
    <col min="9" max="9" width="20" bestFit="1" customWidth="1"/>
    <col min="10" max="10" width="22.36328125" bestFit="1" customWidth="1"/>
    <col min="11" max="11" width="20" bestFit="1" customWidth="1"/>
    <col min="12" max="13" width="20.453125" bestFit="1" customWidth="1"/>
    <col min="14" max="14" width="25.36328125" bestFit="1" customWidth="1"/>
    <col min="15" max="15" width="17.08984375" bestFit="1" customWidth="1"/>
    <col min="16" max="16" width="20.453125" bestFit="1" customWidth="1"/>
    <col min="17" max="17" width="13.36328125" bestFit="1" customWidth="1"/>
    <col min="18" max="18" width="13.453125" bestFit="1" customWidth="1"/>
    <col min="19" max="19" width="14.26953125" customWidth="1"/>
    <col min="20" max="20" width="18.90625" bestFit="1" customWidth="1"/>
    <col min="21" max="21" width="20.453125" bestFit="1" customWidth="1"/>
    <col min="22" max="22" width="18.6328125" bestFit="1" customWidth="1"/>
    <col min="23" max="23" width="22.36328125" bestFit="1" customWidth="1"/>
    <col min="24" max="24" width="16.6328125" bestFit="1" customWidth="1"/>
    <col min="25" max="25" width="2.08984375" customWidth="1"/>
    <col min="26" max="26" width="24.1796875" bestFit="1" customWidth="1"/>
    <col min="27" max="28" width="20.453125" bestFit="1" customWidth="1"/>
    <col min="29" max="29" width="25" bestFit="1" customWidth="1"/>
    <col min="30" max="30" width="13.1796875" bestFit="1" customWidth="1"/>
    <col min="31" max="31" width="12.90625" bestFit="1" customWidth="1"/>
    <col min="32" max="32" width="7.1796875" bestFit="1" customWidth="1"/>
    <col min="33" max="33" width="9.26953125" bestFit="1" customWidth="1"/>
    <col min="34" max="34" width="6.1796875" bestFit="1" customWidth="1"/>
  </cols>
  <sheetData>
    <row r="1" spans="1:29" ht="15" thickBot="1" x14ac:dyDescent="0.4">
      <c r="A1" s="171" t="s">
        <v>126</v>
      </c>
      <c r="B1" s="167" t="s">
        <v>129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9"/>
      <c r="S1" s="169"/>
      <c r="T1" s="169"/>
      <c r="U1" s="168"/>
      <c r="V1" s="168"/>
      <c r="W1" s="168"/>
      <c r="X1" s="168"/>
      <c r="Y1" s="168"/>
      <c r="Z1" s="168"/>
      <c r="AA1" s="168"/>
      <c r="AB1" s="170"/>
    </row>
    <row r="2" spans="1:29" x14ac:dyDescent="0.35">
      <c r="A2" s="172"/>
      <c r="B2" s="55" t="s">
        <v>76</v>
      </c>
      <c r="C2" s="56" t="s">
        <v>77</v>
      </c>
      <c r="D2" s="57" t="s">
        <v>78</v>
      </c>
      <c r="E2" s="58" t="s">
        <v>79</v>
      </c>
      <c r="F2" s="57" t="s">
        <v>80</v>
      </c>
      <c r="G2" s="59" t="s">
        <v>81</v>
      </c>
      <c r="H2" s="56" t="s">
        <v>82</v>
      </c>
      <c r="I2" s="57" t="s">
        <v>121</v>
      </c>
      <c r="J2" s="58" t="s">
        <v>84</v>
      </c>
      <c r="K2" s="57" t="s">
        <v>83</v>
      </c>
      <c r="L2" s="59" t="s">
        <v>85</v>
      </c>
      <c r="M2" s="56" t="s">
        <v>86</v>
      </c>
      <c r="N2" s="57" t="s">
        <v>87</v>
      </c>
      <c r="O2" s="58" t="s">
        <v>88</v>
      </c>
      <c r="P2" s="57" t="s">
        <v>89</v>
      </c>
      <c r="Q2" s="61" t="s">
        <v>90</v>
      </c>
      <c r="R2" s="152" t="s">
        <v>122</v>
      </c>
      <c r="S2" s="153" t="s">
        <v>44</v>
      </c>
      <c r="T2" s="59" t="s">
        <v>123</v>
      </c>
      <c r="U2" s="147" t="s">
        <v>124</v>
      </c>
      <c r="V2" s="62" t="s">
        <v>125</v>
      </c>
      <c r="W2" s="56" t="s">
        <v>42</v>
      </c>
      <c r="X2" s="62" t="s">
        <v>91</v>
      </c>
      <c r="Y2" s="155"/>
      <c r="Z2" s="60" t="s">
        <v>127</v>
      </c>
      <c r="AA2" s="63" t="s">
        <v>92</v>
      </c>
      <c r="AB2" s="59" t="s">
        <v>92</v>
      </c>
    </row>
    <row r="3" spans="1:29" ht="15" thickBot="1" x14ac:dyDescent="0.4">
      <c r="A3" s="172"/>
      <c r="B3" s="64" t="s">
        <v>93</v>
      </c>
      <c r="C3" s="67" t="s">
        <v>94</v>
      </c>
      <c r="D3" s="65" t="s">
        <v>95</v>
      </c>
      <c r="E3" s="68" t="s">
        <v>94</v>
      </c>
      <c r="F3" s="65" t="s">
        <v>95</v>
      </c>
      <c r="G3" s="66" t="s">
        <v>96</v>
      </c>
      <c r="H3" s="67" t="s">
        <v>94</v>
      </c>
      <c r="I3" s="65" t="s">
        <v>95</v>
      </c>
      <c r="J3" s="68" t="s">
        <v>94</v>
      </c>
      <c r="K3" s="65" t="s">
        <v>95</v>
      </c>
      <c r="L3" s="66" t="s">
        <v>96</v>
      </c>
      <c r="M3" s="67" t="s">
        <v>94</v>
      </c>
      <c r="N3" s="65" t="s">
        <v>95</v>
      </c>
      <c r="O3" s="68" t="s">
        <v>94</v>
      </c>
      <c r="P3" s="65" t="s">
        <v>95</v>
      </c>
      <c r="Q3" s="69" t="s">
        <v>96</v>
      </c>
      <c r="R3" s="137" t="s">
        <v>97</v>
      </c>
      <c r="S3" s="70" t="s">
        <v>96</v>
      </c>
      <c r="T3" s="138" t="s">
        <v>96</v>
      </c>
      <c r="U3" s="71" t="s">
        <v>96</v>
      </c>
      <c r="V3" s="71" t="s">
        <v>96</v>
      </c>
      <c r="W3" s="67" t="s">
        <v>96</v>
      </c>
      <c r="X3" s="71" t="s">
        <v>96</v>
      </c>
      <c r="Y3" s="156"/>
      <c r="Z3" s="68" t="s">
        <v>96</v>
      </c>
      <c r="AA3" s="65" t="s">
        <v>14</v>
      </c>
      <c r="AB3" s="66" t="s">
        <v>11</v>
      </c>
    </row>
    <row r="4" spans="1:29" x14ac:dyDescent="0.35">
      <c r="A4" s="172"/>
      <c r="B4" s="72">
        <v>45839</v>
      </c>
      <c r="C4" s="75"/>
      <c r="D4" s="133"/>
      <c r="E4" s="134"/>
      <c r="F4" s="133"/>
      <c r="G4" s="135">
        <f>C4*D4+E4*F4</f>
        <v>0</v>
      </c>
      <c r="H4" s="73"/>
      <c r="I4" s="133"/>
      <c r="J4" s="134"/>
      <c r="K4" s="133"/>
      <c r="L4" s="74">
        <f>H4*I4+J4*K4</f>
        <v>0</v>
      </c>
      <c r="M4" s="75"/>
      <c r="N4" s="133"/>
      <c r="O4" s="134"/>
      <c r="P4" s="133"/>
      <c r="Q4" s="150">
        <f>M4*N4+O4*P4</f>
        <v>0</v>
      </c>
      <c r="R4" s="139"/>
      <c r="S4" s="136"/>
      <c r="T4" s="140">
        <f>S4*R4</f>
        <v>0</v>
      </c>
      <c r="U4" s="148"/>
      <c r="V4" s="145">
        <f>U4*R4</f>
        <v>0</v>
      </c>
      <c r="W4" s="75"/>
      <c r="X4" s="144">
        <f>G4+L4+Q4+T4+V4+W4</f>
        <v>0</v>
      </c>
      <c r="Y4" s="157"/>
      <c r="Z4" s="142">
        <f>G4+L4+Q4</f>
        <v>0</v>
      </c>
      <c r="AA4" s="74">
        <f>IFERROR(Z4/(SUM(C4,E4,H4,J4,M4,O4)),0)</f>
        <v>0</v>
      </c>
      <c r="AB4" s="135">
        <f>IFERROR((T4+V4)/R4,0)</f>
        <v>0</v>
      </c>
      <c r="AC4" s="13"/>
    </row>
    <row r="5" spans="1:29" x14ac:dyDescent="0.35">
      <c r="A5" s="172"/>
      <c r="B5" s="72">
        <v>45870</v>
      </c>
      <c r="C5" s="75"/>
      <c r="D5" s="133"/>
      <c r="E5" s="134"/>
      <c r="F5" s="133"/>
      <c r="G5" s="135">
        <f>C5*D5+E5*F5</f>
        <v>0</v>
      </c>
      <c r="H5" s="73"/>
      <c r="I5" s="133"/>
      <c r="J5" s="134"/>
      <c r="K5" s="133"/>
      <c r="L5" s="74">
        <f t="shared" ref="L5:L21" si="0">H5*I5+J5*K5</f>
        <v>0</v>
      </c>
      <c r="M5" s="75"/>
      <c r="N5" s="133"/>
      <c r="O5" s="134"/>
      <c r="P5" s="133"/>
      <c r="Q5" s="150">
        <f t="shared" ref="Q5:Q10" si="1">M5*N5+O5*P5</f>
        <v>0</v>
      </c>
      <c r="R5" s="139"/>
      <c r="S5" s="136"/>
      <c r="T5" s="140">
        <f t="shared" ref="T5:T21" si="2">S5*R5</f>
        <v>0</v>
      </c>
      <c r="U5" s="148"/>
      <c r="V5" s="145">
        <f t="shared" ref="V5:V21" si="3">U5*R5</f>
        <v>0</v>
      </c>
      <c r="W5" s="75"/>
      <c r="X5" s="144">
        <f t="shared" ref="X5:X21" si="4">G5+L5+Q5+T5+V5+W5</f>
        <v>0</v>
      </c>
      <c r="Y5" s="157"/>
      <c r="Z5" s="142">
        <f t="shared" ref="Z5:Z21" si="5">G5+L5+Q5</f>
        <v>0</v>
      </c>
      <c r="AA5" s="74">
        <f t="shared" ref="AA5:AA21" si="6">IFERROR(Z5/(SUM(C5,E5,H5,J5,M5,O5)),0)</f>
        <v>0</v>
      </c>
      <c r="AB5" s="135">
        <f t="shared" ref="AB5:AB21" si="7">IFERROR((T5+V5)/R5,0)</f>
        <v>0</v>
      </c>
      <c r="AC5" s="13"/>
    </row>
    <row r="6" spans="1:29" x14ac:dyDescent="0.35">
      <c r="A6" s="172"/>
      <c r="B6" s="72">
        <v>45901</v>
      </c>
      <c r="C6" s="75"/>
      <c r="D6" s="133"/>
      <c r="E6" s="134"/>
      <c r="F6" s="133"/>
      <c r="G6" s="135">
        <f t="shared" ref="G6:G21" si="8">C6*D6+E6*F6</f>
        <v>0</v>
      </c>
      <c r="H6" s="73"/>
      <c r="I6" s="133"/>
      <c r="J6" s="134"/>
      <c r="K6" s="133"/>
      <c r="L6" s="74">
        <f t="shared" si="0"/>
        <v>0</v>
      </c>
      <c r="M6" s="75"/>
      <c r="N6" s="133"/>
      <c r="O6" s="134"/>
      <c r="P6" s="133"/>
      <c r="Q6" s="150">
        <f t="shared" si="1"/>
        <v>0</v>
      </c>
      <c r="R6" s="139"/>
      <c r="S6" s="136"/>
      <c r="T6" s="140">
        <f t="shared" si="2"/>
        <v>0</v>
      </c>
      <c r="U6" s="148"/>
      <c r="V6" s="145">
        <f t="shared" si="3"/>
        <v>0</v>
      </c>
      <c r="W6" s="75"/>
      <c r="X6" s="144">
        <f t="shared" si="4"/>
        <v>0</v>
      </c>
      <c r="Y6" s="157"/>
      <c r="Z6" s="142">
        <f t="shared" si="5"/>
        <v>0</v>
      </c>
      <c r="AA6" s="74">
        <f t="shared" si="6"/>
        <v>0</v>
      </c>
      <c r="AB6" s="135">
        <f t="shared" si="7"/>
        <v>0</v>
      </c>
      <c r="AC6" s="13"/>
    </row>
    <row r="7" spans="1:29" x14ac:dyDescent="0.35">
      <c r="A7" s="172"/>
      <c r="B7" s="72">
        <v>45931</v>
      </c>
      <c r="C7" s="75"/>
      <c r="D7" s="133"/>
      <c r="E7" s="134"/>
      <c r="F7" s="133"/>
      <c r="G7" s="135">
        <f t="shared" si="8"/>
        <v>0</v>
      </c>
      <c r="H7" s="73"/>
      <c r="I7" s="133"/>
      <c r="J7" s="134"/>
      <c r="K7" s="133"/>
      <c r="L7" s="74">
        <f t="shared" si="0"/>
        <v>0</v>
      </c>
      <c r="M7" s="75"/>
      <c r="N7" s="133"/>
      <c r="O7" s="134"/>
      <c r="P7" s="133"/>
      <c r="Q7" s="150">
        <f t="shared" si="1"/>
        <v>0</v>
      </c>
      <c r="R7" s="139"/>
      <c r="S7" s="136"/>
      <c r="T7" s="140">
        <f t="shared" si="2"/>
        <v>0</v>
      </c>
      <c r="U7" s="148"/>
      <c r="V7" s="145">
        <f t="shared" si="3"/>
        <v>0</v>
      </c>
      <c r="W7" s="75"/>
      <c r="X7" s="144">
        <f t="shared" si="4"/>
        <v>0</v>
      </c>
      <c r="Y7" s="157"/>
      <c r="Z7" s="142">
        <f t="shared" si="5"/>
        <v>0</v>
      </c>
      <c r="AA7" s="74">
        <f t="shared" si="6"/>
        <v>0</v>
      </c>
      <c r="AB7" s="135">
        <f t="shared" si="7"/>
        <v>0</v>
      </c>
      <c r="AC7" s="13"/>
    </row>
    <row r="8" spans="1:29" x14ac:dyDescent="0.35">
      <c r="A8" s="172"/>
      <c r="B8" s="72">
        <v>45962</v>
      </c>
      <c r="C8" s="75"/>
      <c r="D8" s="133"/>
      <c r="E8" s="134"/>
      <c r="F8" s="133"/>
      <c r="G8" s="135">
        <f t="shared" si="8"/>
        <v>0</v>
      </c>
      <c r="H8" s="73"/>
      <c r="I8" s="133"/>
      <c r="J8" s="134"/>
      <c r="K8" s="133"/>
      <c r="L8" s="74">
        <f t="shared" si="0"/>
        <v>0</v>
      </c>
      <c r="M8" s="75"/>
      <c r="N8" s="133"/>
      <c r="O8" s="134"/>
      <c r="P8" s="133"/>
      <c r="Q8" s="150">
        <f t="shared" si="1"/>
        <v>0</v>
      </c>
      <c r="R8" s="139"/>
      <c r="S8" s="136"/>
      <c r="T8" s="140">
        <f t="shared" si="2"/>
        <v>0</v>
      </c>
      <c r="U8" s="148"/>
      <c r="V8" s="145">
        <f t="shared" si="3"/>
        <v>0</v>
      </c>
      <c r="W8" s="75"/>
      <c r="X8" s="144">
        <f t="shared" si="4"/>
        <v>0</v>
      </c>
      <c r="Y8" s="157"/>
      <c r="Z8" s="142">
        <f t="shared" si="5"/>
        <v>0</v>
      </c>
      <c r="AA8" s="74">
        <f t="shared" si="6"/>
        <v>0</v>
      </c>
      <c r="AB8" s="135">
        <f t="shared" si="7"/>
        <v>0</v>
      </c>
      <c r="AC8" s="13"/>
    </row>
    <row r="9" spans="1:29" x14ac:dyDescent="0.35">
      <c r="A9" s="172"/>
      <c r="B9" s="72">
        <v>45992</v>
      </c>
      <c r="C9" s="75"/>
      <c r="D9" s="133"/>
      <c r="E9" s="134"/>
      <c r="F9" s="133"/>
      <c r="G9" s="135">
        <f t="shared" si="8"/>
        <v>0</v>
      </c>
      <c r="H9" s="73"/>
      <c r="I9" s="133"/>
      <c r="J9" s="134"/>
      <c r="K9" s="133"/>
      <c r="L9" s="74">
        <f t="shared" si="0"/>
        <v>0</v>
      </c>
      <c r="M9" s="75"/>
      <c r="N9" s="133"/>
      <c r="O9" s="134"/>
      <c r="P9" s="133"/>
      <c r="Q9" s="150">
        <f t="shared" si="1"/>
        <v>0</v>
      </c>
      <c r="R9" s="139"/>
      <c r="S9" s="136"/>
      <c r="T9" s="140">
        <f t="shared" si="2"/>
        <v>0</v>
      </c>
      <c r="U9" s="148"/>
      <c r="V9" s="145">
        <f t="shared" si="3"/>
        <v>0</v>
      </c>
      <c r="W9" s="75"/>
      <c r="X9" s="144">
        <f t="shared" si="4"/>
        <v>0</v>
      </c>
      <c r="Y9" s="157"/>
      <c r="Z9" s="142">
        <f t="shared" si="5"/>
        <v>0</v>
      </c>
      <c r="AA9" s="74">
        <f t="shared" si="6"/>
        <v>0</v>
      </c>
      <c r="AB9" s="135">
        <f t="shared" si="7"/>
        <v>0</v>
      </c>
      <c r="AC9" s="13"/>
    </row>
    <row r="10" spans="1:29" x14ac:dyDescent="0.35">
      <c r="A10" s="172"/>
      <c r="B10" s="72">
        <v>46023</v>
      </c>
      <c r="C10" s="75"/>
      <c r="D10" s="133"/>
      <c r="E10" s="134"/>
      <c r="F10" s="133"/>
      <c r="G10" s="135">
        <f t="shared" si="8"/>
        <v>0</v>
      </c>
      <c r="H10" s="73"/>
      <c r="I10" s="133"/>
      <c r="J10" s="134"/>
      <c r="K10" s="133"/>
      <c r="L10" s="74">
        <f t="shared" si="0"/>
        <v>0</v>
      </c>
      <c r="M10" s="75"/>
      <c r="N10" s="133"/>
      <c r="O10" s="134"/>
      <c r="P10" s="133"/>
      <c r="Q10" s="150">
        <f t="shared" si="1"/>
        <v>0</v>
      </c>
      <c r="R10" s="139"/>
      <c r="S10" s="136"/>
      <c r="T10" s="140">
        <f t="shared" si="2"/>
        <v>0</v>
      </c>
      <c r="U10" s="148"/>
      <c r="V10" s="145">
        <f t="shared" si="3"/>
        <v>0</v>
      </c>
      <c r="W10" s="75"/>
      <c r="X10" s="144">
        <f t="shared" si="4"/>
        <v>0</v>
      </c>
      <c r="Y10" s="157"/>
      <c r="Z10" s="142">
        <f t="shared" si="5"/>
        <v>0</v>
      </c>
      <c r="AA10" s="74">
        <f t="shared" si="6"/>
        <v>0</v>
      </c>
      <c r="AB10" s="135">
        <f t="shared" si="7"/>
        <v>0</v>
      </c>
      <c r="AC10" s="13"/>
    </row>
    <row r="11" spans="1:29" x14ac:dyDescent="0.35">
      <c r="A11" s="172"/>
      <c r="B11" s="72">
        <v>46054</v>
      </c>
      <c r="C11" s="75"/>
      <c r="D11" s="133"/>
      <c r="E11" s="134"/>
      <c r="F11" s="133"/>
      <c r="G11" s="135">
        <f t="shared" si="8"/>
        <v>0</v>
      </c>
      <c r="H11" s="73"/>
      <c r="I11" s="133"/>
      <c r="J11" s="134"/>
      <c r="K11" s="133"/>
      <c r="L11" s="74">
        <f t="shared" si="0"/>
        <v>0</v>
      </c>
      <c r="M11" s="75"/>
      <c r="N11" s="133"/>
      <c r="O11" s="134"/>
      <c r="P11" s="133"/>
      <c r="Q11" s="150">
        <f>M11*N11+O11*P11</f>
        <v>0</v>
      </c>
      <c r="R11" s="139"/>
      <c r="S11" s="136"/>
      <c r="T11" s="140">
        <f t="shared" si="2"/>
        <v>0</v>
      </c>
      <c r="U11" s="148"/>
      <c r="V11" s="145">
        <f t="shared" si="3"/>
        <v>0</v>
      </c>
      <c r="W11" s="75"/>
      <c r="X11" s="144">
        <f t="shared" si="4"/>
        <v>0</v>
      </c>
      <c r="Y11" s="157"/>
      <c r="Z11" s="142">
        <f t="shared" si="5"/>
        <v>0</v>
      </c>
      <c r="AA11" s="74">
        <f t="shared" si="6"/>
        <v>0</v>
      </c>
      <c r="AB11" s="135">
        <f t="shared" si="7"/>
        <v>0</v>
      </c>
      <c r="AC11" s="13"/>
    </row>
    <row r="12" spans="1:29" x14ac:dyDescent="0.35">
      <c r="A12" s="172"/>
      <c r="B12" s="72">
        <v>46082</v>
      </c>
      <c r="C12" s="75"/>
      <c r="D12" s="133"/>
      <c r="E12" s="134"/>
      <c r="F12" s="133"/>
      <c r="G12" s="135">
        <f t="shared" si="8"/>
        <v>0</v>
      </c>
      <c r="H12" s="73"/>
      <c r="I12" s="133"/>
      <c r="J12" s="134"/>
      <c r="K12" s="133"/>
      <c r="L12" s="74">
        <f t="shared" si="0"/>
        <v>0</v>
      </c>
      <c r="M12" s="75"/>
      <c r="N12" s="133"/>
      <c r="O12" s="134"/>
      <c r="P12" s="133"/>
      <c r="Q12" s="150">
        <f t="shared" ref="Q12:Q21" si="9">M12*N12+O12*P12</f>
        <v>0</v>
      </c>
      <c r="R12" s="139"/>
      <c r="S12" s="136"/>
      <c r="T12" s="140">
        <f t="shared" si="2"/>
        <v>0</v>
      </c>
      <c r="U12" s="148"/>
      <c r="V12" s="145">
        <f t="shared" si="3"/>
        <v>0</v>
      </c>
      <c r="W12" s="75"/>
      <c r="X12" s="144">
        <f t="shared" si="4"/>
        <v>0</v>
      </c>
      <c r="Y12" s="157"/>
      <c r="Z12" s="142">
        <f t="shared" si="5"/>
        <v>0</v>
      </c>
      <c r="AA12" s="74">
        <f t="shared" si="6"/>
        <v>0</v>
      </c>
      <c r="AB12" s="135">
        <f t="shared" si="7"/>
        <v>0</v>
      </c>
      <c r="AC12" s="13"/>
    </row>
    <row r="13" spans="1:29" x14ac:dyDescent="0.35">
      <c r="A13" s="172"/>
      <c r="B13" s="72">
        <v>46113</v>
      </c>
      <c r="C13" s="75"/>
      <c r="D13" s="133"/>
      <c r="E13" s="134"/>
      <c r="F13" s="133"/>
      <c r="G13" s="135">
        <f t="shared" si="8"/>
        <v>0</v>
      </c>
      <c r="H13" s="73"/>
      <c r="I13" s="133"/>
      <c r="J13" s="134"/>
      <c r="K13" s="133"/>
      <c r="L13" s="74">
        <f t="shared" si="0"/>
        <v>0</v>
      </c>
      <c r="M13" s="75"/>
      <c r="N13" s="133"/>
      <c r="O13" s="134"/>
      <c r="P13" s="133"/>
      <c r="Q13" s="150">
        <f t="shared" si="9"/>
        <v>0</v>
      </c>
      <c r="R13" s="139"/>
      <c r="S13" s="136"/>
      <c r="T13" s="140">
        <f t="shared" si="2"/>
        <v>0</v>
      </c>
      <c r="U13" s="148"/>
      <c r="V13" s="145">
        <f t="shared" si="3"/>
        <v>0</v>
      </c>
      <c r="W13" s="75"/>
      <c r="X13" s="144">
        <f t="shared" si="4"/>
        <v>0</v>
      </c>
      <c r="Y13" s="157"/>
      <c r="Z13" s="142">
        <f t="shared" si="5"/>
        <v>0</v>
      </c>
      <c r="AA13" s="74">
        <f t="shared" si="6"/>
        <v>0</v>
      </c>
      <c r="AB13" s="135">
        <f t="shared" si="7"/>
        <v>0</v>
      </c>
      <c r="AC13" s="13"/>
    </row>
    <row r="14" spans="1:29" x14ac:dyDescent="0.35">
      <c r="A14" s="172"/>
      <c r="B14" s="72">
        <v>46143</v>
      </c>
      <c r="C14" s="75"/>
      <c r="D14" s="133"/>
      <c r="E14" s="134"/>
      <c r="F14" s="133"/>
      <c r="G14" s="135">
        <f t="shared" si="8"/>
        <v>0</v>
      </c>
      <c r="H14" s="73"/>
      <c r="I14" s="133"/>
      <c r="J14" s="134"/>
      <c r="K14" s="133"/>
      <c r="L14" s="74">
        <f t="shared" si="0"/>
        <v>0</v>
      </c>
      <c r="M14" s="75"/>
      <c r="N14" s="133"/>
      <c r="O14" s="134"/>
      <c r="P14" s="133"/>
      <c r="Q14" s="150">
        <f t="shared" si="9"/>
        <v>0</v>
      </c>
      <c r="R14" s="139"/>
      <c r="S14" s="136"/>
      <c r="T14" s="140">
        <f t="shared" si="2"/>
        <v>0</v>
      </c>
      <c r="U14" s="148"/>
      <c r="V14" s="145">
        <f t="shared" si="3"/>
        <v>0</v>
      </c>
      <c r="W14" s="75"/>
      <c r="X14" s="144">
        <f t="shared" si="4"/>
        <v>0</v>
      </c>
      <c r="Y14" s="157"/>
      <c r="Z14" s="142">
        <f t="shared" si="5"/>
        <v>0</v>
      </c>
      <c r="AA14" s="74">
        <f t="shared" si="6"/>
        <v>0</v>
      </c>
      <c r="AB14" s="135">
        <f t="shared" si="7"/>
        <v>0</v>
      </c>
      <c r="AC14" s="13"/>
    </row>
    <row r="15" spans="1:29" x14ac:dyDescent="0.35">
      <c r="A15" s="172"/>
      <c r="B15" s="72">
        <v>46174</v>
      </c>
      <c r="C15" s="75"/>
      <c r="D15" s="133"/>
      <c r="E15" s="134"/>
      <c r="F15" s="133"/>
      <c r="G15" s="135">
        <f t="shared" si="8"/>
        <v>0</v>
      </c>
      <c r="H15" s="73"/>
      <c r="I15" s="133"/>
      <c r="J15" s="134"/>
      <c r="K15" s="133"/>
      <c r="L15" s="74">
        <f t="shared" si="0"/>
        <v>0</v>
      </c>
      <c r="M15" s="75"/>
      <c r="N15" s="133"/>
      <c r="O15" s="134"/>
      <c r="P15" s="133"/>
      <c r="Q15" s="150">
        <f t="shared" si="9"/>
        <v>0</v>
      </c>
      <c r="R15" s="139"/>
      <c r="S15" s="136"/>
      <c r="T15" s="140">
        <f t="shared" si="2"/>
        <v>0</v>
      </c>
      <c r="U15" s="148"/>
      <c r="V15" s="145">
        <f t="shared" si="3"/>
        <v>0</v>
      </c>
      <c r="W15" s="75"/>
      <c r="X15" s="144">
        <f t="shared" si="4"/>
        <v>0</v>
      </c>
      <c r="Y15" s="157"/>
      <c r="Z15" s="142">
        <f t="shared" si="5"/>
        <v>0</v>
      </c>
      <c r="AA15" s="74">
        <f t="shared" si="6"/>
        <v>0</v>
      </c>
      <c r="AB15" s="135">
        <f t="shared" si="7"/>
        <v>0</v>
      </c>
      <c r="AC15" s="13"/>
    </row>
    <row r="16" spans="1:29" x14ac:dyDescent="0.35">
      <c r="A16" s="172"/>
      <c r="B16" s="72">
        <v>46204</v>
      </c>
      <c r="C16" s="75"/>
      <c r="D16" s="133"/>
      <c r="E16" s="134"/>
      <c r="F16" s="133"/>
      <c r="G16" s="135">
        <f t="shared" si="8"/>
        <v>0</v>
      </c>
      <c r="H16" s="73"/>
      <c r="I16" s="133"/>
      <c r="J16" s="134"/>
      <c r="K16" s="133"/>
      <c r="L16" s="74">
        <f t="shared" si="0"/>
        <v>0</v>
      </c>
      <c r="M16" s="75"/>
      <c r="N16" s="133"/>
      <c r="O16" s="134"/>
      <c r="P16" s="133"/>
      <c r="Q16" s="150">
        <f t="shared" si="9"/>
        <v>0</v>
      </c>
      <c r="R16" s="139"/>
      <c r="S16" s="136"/>
      <c r="T16" s="140">
        <f t="shared" si="2"/>
        <v>0</v>
      </c>
      <c r="U16" s="148"/>
      <c r="V16" s="145">
        <f t="shared" si="3"/>
        <v>0</v>
      </c>
      <c r="W16" s="75"/>
      <c r="X16" s="144">
        <f t="shared" si="4"/>
        <v>0</v>
      </c>
      <c r="Y16" s="157"/>
      <c r="Z16" s="142">
        <f t="shared" si="5"/>
        <v>0</v>
      </c>
      <c r="AA16" s="74">
        <f t="shared" si="6"/>
        <v>0</v>
      </c>
      <c r="AB16" s="135">
        <f t="shared" si="7"/>
        <v>0</v>
      </c>
      <c r="AC16" s="13"/>
    </row>
    <row r="17" spans="1:29" x14ac:dyDescent="0.35">
      <c r="A17" s="172"/>
      <c r="B17" s="72">
        <v>46235</v>
      </c>
      <c r="C17" s="75"/>
      <c r="D17" s="133"/>
      <c r="E17" s="134"/>
      <c r="F17" s="133"/>
      <c r="G17" s="135">
        <f t="shared" si="8"/>
        <v>0</v>
      </c>
      <c r="H17" s="73"/>
      <c r="I17" s="133"/>
      <c r="J17" s="134"/>
      <c r="K17" s="133"/>
      <c r="L17" s="74">
        <f t="shared" si="0"/>
        <v>0</v>
      </c>
      <c r="M17" s="75"/>
      <c r="N17" s="133"/>
      <c r="O17" s="134"/>
      <c r="P17" s="133"/>
      <c r="Q17" s="150">
        <f t="shared" si="9"/>
        <v>0</v>
      </c>
      <c r="R17" s="139"/>
      <c r="S17" s="136"/>
      <c r="T17" s="140">
        <f t="shared" si="2"/>
        <v>0</v>
      </c>
      <c r="U17" s="148"/>
      <c r="V17" s="145">
        <f t="shared" si="3"/>
        <v>0</v>
      </c>
      <c r="W17" s="75"/>
      <c r="X17" s="144">
        <f t="shared" si="4"/>
        <v>0</v>
      </c>
      <c r="Y17" s="157"/>
      <c r="Z17" s="142">
        <f t="shared" si="5"/>
        <v>0</v>
      </c>
      <c r="AA17" s="74">
        <f t="shared" si="6"/>
        <v>0</v>
      </c>
      <c r="AB17" s="135">
        <f t="shared" si="7"/>
        <v>0</v>
      </c>
      <c r="AC17" s="13"/>
    </row>
    <row r="18" spans="1:29" x14ac:dyDescent="0.35">
      <c r="A18" s="172"/>
      <c r="B18" s="72">
        <v>46266</v>
      </c>
      <c r="C18" s="75"/>
      <c r="D18" s="133"/>
      <c r="E18" s="134"/>
      <c r="F18" s="133"/>
      <c r="G18" s="135">
        <f t="shared" si="8"/>
        <v>0</v>
      </c>
      <c r="H18" s="73"/>
      <c r="I18" s="133"/>
      <c r="J18" s="134"/>
      <c r="K18" s="133"/>
      <c r="L18" s="74">
        <f t="shared" si="0"/>
        <v>0</v>
      </c>
      <c r="M18" s="75"/>
      <c r="N18" s="133"/>
      <c r="O18" s="134"/>
      <c r="P18" s="133"/>
      <c r="Q18" s="150">
        <f t="shared" si="9"/>
        <v>0</v>
      </c>
      <c r="R18" s="139"/>
      <c r="S18" s="136"/>
      <c r="T18" s="140">
        <f t="shared" si="2"/>
        <v>0</v>
      </c>
      <c r="U18" s="148"/>
      <c r="V18" s="145">
        <f t="shared" si="3"/>
        <v>0</v>
      </c>
      <c r="W18" s="75"/>
      <c r="X18" s="144">
        <f t="shared" si="4"/>
        <v>0</v>
      </c>
      <c r="Y18" s="157"/>
      <c r="Z18" s="142">
        <f t="shared" si="5"/>
        <v>0</v>
      </c>
      <c r="AA18" s="74">
        <f t="shared" si="6"/>
        <v>0</v>
      </c>
      <c r="AB18" s="135">
        <f t="shared" si="7"/>
        <v>0</v>
      </c>
      <c r="AC18" s="13"/>
    </row>
    <row r="19" spans="1:29" x14ac:dyDescent="0.35">
      <c r="A19" s="172"/>
      <c r="B19" s="72">
        <v>46296</v>
      </c>
      <c r="C19" s="75"/>
      <c r="D19" s="133"/>
      <c r="E19" s="134"/>
      <c r="F19" s="133"/>
      <c r="G19" s="135">
        <f t="shared" si="8"/>
        <v>0</v>
      </c>
      <c r="H19" s="73"/>
      <c r="I19" s="133"/>
      <c r="J19" s="134"/>
      <c r="K19" s="133"/>
      <c r="L19" s="74">
        <f t="shared" si="0"/>
        <v>0</v>
      </c>
      <c r="M19" s="75"/>
      <c r="N19" s="133"/>
      <c r="O19" s="134"/>
      <c r="P19" s="133"/>
      <c r="Q19" s="150">
        <f t="shared" si="9"/>
        <v>0</v>
      </c>
      <c r="R19" s="139"/>
      <c r="S19" s="136"/>
      <c r="T19" s="140">
        <f t="shared" si="2"/>
        <v>0</v>
      </c>
      <c r="U19" s="148"/>
      <c r="V19" s="145">
        <f t="shared" si="3"/>
        <v>0</v>
      </c>
      <c r="W19" s="75"/>
      <c r="X19" s="144">
        <f t="shared" si="4"/>
        <v>0</v>
      </c>
      <c r="Y19" s="157"/>
      <c r="Z19" s="142">
        <f t="shared" si="5"/>
        <v>0</v>
      </c>
      <c r="AA19" s="74">
        <f t="shared" si="6"/>
        <v>0</v>
      </c>
      <c r="AB19" s="135">
        <f t="shared" si="7"/>
        <v>0</v>
      </c>
      <c r="AC19" s="13"/>
    </row>
    <row r="20" spans="1:29" x14ac:dyDescent="0.35">
      <c r="A20" s="172"/>
      <c r="B20" s="72">
        <v>46327</v>
      </c>
      <c r="C20" s="75"/>
      <c r="D20" s="133"/>
      <c r="E20" s="134"/>
      <c r="F20" s="133"/>
      <c r="G20" s="135">
        <f t="shared" si="8"/>
        <v>0</v>
      </c>
      <c r="H20" s="73"/>
      <c r="I20" s="133"/>
      <c r="J20" s="134"/>
      <c r="K20" s="133"/>
      <c r="L20" s="74">
        <f t="shared" si="0"/>
        <v>0</v>
      </c>
      <c r="M20" s="75"/>
      <c r="N20" s="133"/>
      <c r="O20" s="134"/>
      <c r="P20" s="133"/>
      <c r="Q20" s="150">
        <f t="shared" si="9"/>
        <v>0</v>
      </c>
      <c r="R20" s="139"/>
      <c r="S20" s="136"/>
      <c r="T20" s="140">
        <f t="shared" si="2"/>
        <v>0</v>
      </c>
      <c r="U20" s="148"/>
      <c r="V20" s="145">
        <f t="shared" si="3"/>
        <v>0</v>
      </c>
      <c r="W20" s="75"/>
      <c r="X20" s="144">
        <f t="shared" si="4"/>
        <v>0</v>
      </c>
      <c r="Y20" s="157"/>
      <c r="Z20" s="142">
        <f t="shared" si="5"/>
        <v>0</v>
      </c>
      <c r="AA20" s="74">
        <f t="shared" si="6"/>
        <v>0</v>
      </c>
      <c r="AB20" s="135">
        <f t="shared" si="7"/>
        <v>0</v>
      </c>
      <c r="AC20" s="13"/>
    </row>
    <row r="21" spans="1:29" ht="15" thickBot="1" x14ac:dyDescent="0.4">
      <c r="A21" s="172"/>
      <c r="B21" s="72">
        <v>46357</v>
      </c>
      <c r="C21" s="75"/>
      <c r="D21" s="133"/>
      <c r="E21" s="134"/>
      <c r="F21" s="133"/>
      <c r="G21" s="135">
        <f t="shared" si="8"/>
        <v>0</v>
      </c>
      <c r="H21" s="73"/>
      <c r="I21" s="133"/>
      <c r="J21" s="134"/>
      <c r="K21" s="133"/>
      <c r="L21" s="74">
        <f t="shared" si="0"/>
        <v>0</v>
      </c>
      <c r="M21" s="75"/>
      <c r="N21" s="133"/>
      <c r="O21" s="134"/>
      <c r="P21" s="133"/>
      <c r="Q21" s="150">
        <f t="shared" si="9"/>
        <v>0</v>
      </c>
      <c r="R21" s="159"/>
      <c r="S21" s="160"/>
      <c r="T21" s="141">
        <f t="shared" si="2"/>
        <v>0</v>
      </c>
      <c r="U21" s="149"/>
      <c r="V21" s="146">
        <f t="shared" si="3"/>
        <v>0</v>
      </c>
      <c r="W21" s="75"/>
      <c r="X21" s="144">
        <f t="shared" si="4"/>
        <v>0</v>
      </c>
      <c r="Y21" s="157"/>
      <c r="Z21" s="142">
        <f t="shared" si="5"/>
        <v>0</v>
      </c>
      <c r="AA21" s="74">
        <f t="shared" si="6"/>
        <v>0</v>
      </c>
      <c r="AB21" s="135">
        <f t="shared" si="7"/>
        <v>0</v>
      </c>
      <c r="AC21" s="13"/>
    </row>
    <row r="22" spans="1:29" ht="15" thickBot="1" x14ac:dyDescent="0.4">
      <c r="A22" s="173"/>
      <c r="B22" s="76" t="s">
        <v>98</v>
      </c>
      <c r="C22" s="77" t="e">
        <f t="shared" ref="C22:S22" si="10">AVERAGE(C4:C21)</f>
        <v>#DIV/0!</v>
      </c>
      <c r="D22" s="78" t="e">
        <f t="shared" si="10"/>
        <v>#DIV/0!</v>
      </c>
      <c r="E22" s="79" t="e">
        <f t="shared" si="10"/>
        <v>#DIV/0!</v>
      </c>
      <c r="F22" s="78" t="e">
        <f t="shared" si="10"/>
        <v>#DIV/0!</v>
      </c>
      <c r="G22" s="80">
        <f t="shared" si="10"/>
        <v>0</v>
      </c>
      <c r="H22" s="77" t="e">
        <f t="shared" si="10"/>
        <v>#DIV/0!</v>
      </c>
      <c r="I22" s="78" t="e">
        <f t="shared" si="10"/>
        <v>#DIV/0!</v>
      </c>
      <c r="J22" s="81" t="e">
        <f t="shared" si="10"/>
        <v>#DIV/0!</v>
      </c>
      <c r="K22" s="78" t="e">
        <f t="shared" si="10"/>
        <v>#DIV/0!</v>
      </c>
      <c r="L22" s="80">
        <f t="shared" si="10"/>
        <v>0</v>
      </c>
      <c r="M22" s="77" t="e">
        <f t="shared" si="10"/>
        <v>#DIV/0!</v>
      </c>
      <c r="N22" s="78" t="e">
        <f t="shared" si="10"/>
        <v>#DIV/0!</v>
      </c>
      <c r="O22" s="81" t="e">
        <f t="shared" si="10"/>
        <v>#DIV/0!</v>
      </c>
      <c r="P22" s="78" t="e">
        <f t="shared" si="10"/>
        <v>#DIV/0!</v>
      </c>
      <c r="Q22" s="151">
        <f t="shared" si="10"/>
        <v>0</v>
      </c>
      <c r="R22" s="84" t="e">
        <f t="shared" si="10"/>
        <v>#DIV/0!</v>
      </c>
      <c r="S22" s="80" t="e">
        <f t="shared" si="10"/>
        <v>#DIV/0!</v>
      </c>
      <c r="T22" s="154">
        <f t="shared" ref="T22:AB22" si="11">AVERAGE(T4:T21)</f>
        <v>0</v>
      </c>
      <c r="U22" s="113" t="e">
        <f t="shared" si="11"/>
        <v>#DIV/0!</v>
      </c>
      <c r="V22" s="113">
        <f t="shared" si="11"/>
        <v>0</v>
      </c>
      <c r="W22" s="77" t="e">
        <f t="shared" si="11"/>
        <v>#DIV/0!</v>
      </c>
      <c r="X22" s="113">
        <f t="shared" si="11"/>
        <v>0</v>
      </c>
      <c r="Y22" s="158" t="e">
        <f t="shared" si="11"/>
        <v>#DIV/0!</v>
      </c>
      <c r="Z22" s="143">
        <f t="shared" si="11"/>
        <v>0</v>
      </c>
      <c r="AA22" s="83">
        <f t="shared" si="11"/>
        <v>0</v>
      </c>
      <c r="AB22" s="80">
        <f t="shared" si="11"/>
        <v>0</v>
      </c>
    </row>
    <row r="23" spans="1:29" ht="15" thickBot="1" x14ac:dyDescent="0.4"/>
    <row r="24" spans="1:29" ht="15" thickBot="1" x14ac:dyDescent="0.4">
      <c r="A24" s="171" t="s">
        <v>128</v>
      </c>
      <c r="B24" s="167" t="s">
        <v>130</v>
      </c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9"/>
      <c r="S24" s="169"/>
      <c r="T24" s="169"/>
      <c r="U24" s="168"/>
      <c r="V24" s="168"/>
      <c r="W24" s="168"/>
      <c r="X24" s="168"/>
      <c r="Y24" s="168"/>
      <c r="Z24" s="168"/>
      <c r="AA24" s="168"/>
      <c r="AB24" s="170"/>
    </row>
    <row r="25" spans="1:29" x14ac:dyDescent="0.35">
      <c r="A25" s="172"/>
      <c r="B25" s="55" t="s">
        <v>76</v>
      </c>
      <c r="C25" s="56" t="s">
        <v>77</v>
      </c>
      <c r="D25" s="57" t="s">
        <v>78</v>
      </c>
      <c r="E25" s="58" t="s">
        <v>79</v>
      </c>
      <c r="F25" s="57" t="s">
        <v>80</v>
      </c>
      <c r="G25" s="59" t="s">
        <v>81</v>
      </c>
      <c r="H25" s="56" t="s">
        <v>82</v>
      </c>
      <c r="I25" s="57" t="s">
        <v>121</v>
      </c>
      <c r="J25" s="58" t="s">
        <v>84</v>
      </c>
      <c r="K25" s="57" t="s">
        <v>83</v>
      </c>
      <c r="L25" s="59" t="s">
        <v>85</v>
      </c>
      <c r="M25" s="56" t="s">
        <v>86</v>
      </c>
      <c r="N25" s="57" t="s">
        <v>87</v>
      </c>
      <c r="O25" s="58" t="s">
        <v>88</v>
      </c>
      <c r="P25" s="57" t="s">
        <v>89</v>
      </c>
      <c r="Q25" s="61" t="s">
        <v>90</v>
      </c>
      <c r="R25" s="152" t="s">
        <v>122</v>
      </c>
      <c r="S25" s="153" t="s">
        <v>44</v>
      </c>
      <c r="T25" s="59" t="s">
        <v>123</v>
      </c>
      <c r="U25" s="147" t="s">
        <v>124</v>
      </c>
      <c r="V25" s="62" t="s">
        <v>125</v>
      </c>
      <c r="W25" s="56" t="s">
        <v>42</v>
      </c>
      <c r="X25" s="62" t="s">
        <v>91</v>
      </c>
      <c r="Y25" s="155"/>
      <c r="Z25" s="60" t="s">
        <v>127</v>
      </c>
      <c r="AA25" s="63" t="s">
        <v>92</v>
      </c>
      <c r="AB25" s="59" t="s">
        <v>92</v>
      </c>
    </row>
    <row r="26" spans="1:29" ht="15" thickBot="1" x14ac:dyDescent="0.4">
      <c r="A26" s="172"/>
      <c r="B26" s="64" t="s">
        <v>93</v>
      </c>
      <c r="C26" s="67" t="s">
        <v>94</v>
      </c>
      <c r="D26" s="65" t="s">
        <v>95</v>
      </c>
      <c r="E26" s="68" t="s">
        <v>94</v>
      </c>
      <c r="F26" s="65" t="s">
        <v>95</v>
      </c>
      <c r="G26" s="66" t="s">
        <v>96</v>
      </c>
      <c r="H26" s="67" t="s">
        <v>94</v>
      </c>
      <c r="I26" s="65" t="s">
        <v>95</v>
      </c>
      <c r="J26" s="68" t="s">
        <v>94</v>
      </c>
      <c r="K26" s="65" t="s">
        <v>95</v>
      </c>
      <c r="L26" s="66" t="s">
        <v>96</v>
      </c>
      <c r="M26" s="67" t="s">
        <v>94</v>
      </c>
      <c r="N26" s="65" t="s">
        <v>95</v>
      </c>
      <c r="O26" s="68" t="s">
        <v>94</v>
      </c>
      <c r="P26" s="65" t="s">
        <v>95</v>
      </c>
      <c r="Q26" s="69" t="s">
        <v>96</v>
      </c>
      <c r="R26" s="137" t="s">
        <v>97</v>
      </c>
      <c r="S26" s="70" t="s">
        <v>96</v>
      </c>
      <c r="T26" s="138" t="s">
        <v>96</v>
      </c>
      <c r="U26" s="71" t="s">
        <v>96</v>
      </c>
      <c r="V26" s="71" t="s">
        <v>96</v>
      </c>
      <c r="W26" s="67" t="s">
        <v>96</v>
      </c>
      <c r="X26" s="71" t="s">
        <v>96</v>
      </c>
      <c r="Y26" s="156"/>
      <c r="Z26" s="68" t="s">
        <v>96</v>
      </c>
      <c r="AA26" s="65" t="s">
        <v>14</v>
      </c>
      <c r="AB26" s="66" t="s">
        <v>11</v>
      </c>
    </row>
    <row r="27" spans="1:29" x14ac:dyDescent="0.35">
      <c r="A27" s="172"/>
      <c r="B27" s="72">
        <v>45839</v>
      </c>
      <c r="C27" s="75"/>
      <c r="D27" s="133"/>
      <c r="E27" s="134">
        <f>'Raw Billing'!D9</f>
        <v>47510.48</v>
      </c>
      <c r="F27" s="133">
        <f>'Raw Billing'!B9</f>
        <v>11.4252</v>
      </c>
      <c r="G27" s="135">
        <f>C27*D27+E27*F27</f>
        <v>542816.73609600007</v>
      </c>
      <c r="H27" s="73"/>
      <c r="I27" s="133"/>
      <c r="J27" s="134">
        <f>'Raw Billing'!D13</f>
        <v>115380.42</v>
      </c>
      <c r="K27" s="133">
        <f>'Raw Billing'!B13</f>
        <v>2.0192000000000001</v>
      </c>
      <c r="L27" s="74">
        <f>H27*I27+J27*K27</f>
        <v>232976.14406400002</v>
      </c>
      <c r="M27" s="75"/>
      <c r="N27" s="133"/>
      <c r="O27" s="134">
        <f>'Raw Billing'!D11</f>
        <v>99886.55</v>
      </c>
      <c r="P27" s="133">
        <f>'Raw Billing'!B11</f>
        <v>3.3047</v>
      </c>
      <c r="Q27" s="150">
        <f>M27*N27+O27*P27</f>
        <v>330095.08178499999</v>
      </c>
      <c r="R27" s="163">
        <f>'Raw Billing'!D7</f>
        <v>587.57676200000003</v>
      </c>
      <c r="S27" s="136">
        <f>'Raw Billing'!B8</f>
        <v>161.86080000000001</v>
      </c>
      <c r="T27" s="140">
        <f>S27*R27</f>
        <v>95105.644758729613</v>
      </c>
      <c r="U27" s="148">
        <f>'Raw Billing'!B7</f>
        <v>107.5628</v>
      </c>
      <c r="V27" s="145">
        <f>U27*R27</f>
        <v>63201.401735653599</v>
      </c>
      <c r="W27" s="75">
        <f>'Raw Billing'!B6</f>
        <v>5694.3279000000002</v>
      </c>
      <c r="X27" s="144">
        <f>G27+L27+Q27+T27+V27+W27</f>
        <v>1269889.3363393834</v>
      </c>
      <c r="Y27" s="157"/>
      <c r="Z27" s="142">
        <f>G27+L27+Q27</f>
        <v>1105887.9619450001</v>
      </c>
      <c r="AA27" s="74">
        <f>IFERROR(Z27/(SUM(C27,E27,H27,J27,M27,O27)),0)</f>
        <v>4.2084583815886791</v>
      </c>
      <c r="AB27" s="135">
        <f>IFERROR((T27+V27)/R27,0)</f>
        <v>269.42360000000002</v>
      </c>
    </row>
    <row r="28" spans="1:29" x14ac:dyDescent="0.35">
      <c r="A28" s="172"/>
      <c r="B28" s="72">
        <v>45870</v>
      </c>
      <c r="C28" s="75"/>
      <c r="D28" s="133"/>
      <c r="E28" s="134">
        <f>'Raw Billing'!R9</f>
        <v>38622.49</v>
      </c>
      <c r="F28" s="133">
        <f>F27</f>
        <v>11.4252</v>
      </c>
      <c r="G28" s="135">
        <f>C28*D28+E28*F28</f>
        <v>441269.67274800001</v>
      </c>
      <c r="H28" s="73"/>
      <c r="I28" s="133"/>
      <c r="J28" s="134">
        <f>'Raw Billing'!R13</f>
        <v>122621.9</v>
      </c>
      <c r="K28" s="133">
        <f>K27</f>
        <v>2.0192000000000001</v>
      </c>
      <c r="L28" s="74">
        <f t="shared" ref="L28:L44" si="12">H28*I28+J28*K28</f>
        <v>247598.14048</v>
      </c>
      <c r="M28" s="75"/>
      <c r="N28" s="133"/>
      <c r="O28" s="134">
        <f>'Raw Billing'!R11</f>
        <v>84308.260000000097</v>
      </c>
      <c r="P28" s="133">
        <f>P27</f>
        <v>3.3047</v>
      </c>
      <c r="Q28" s="150">
        <f t="shared" ref="Q28:Q33" si="13">M28*N28+O28*P28</f>
        <v>278613.50682200032</v>
      </c>
      <c r="R28" s="163">
        <f>'Raw Billing'!R7</f>
        <v>590.28718600000002</v>
      </c>
      <c r="S28" s="136">
        <f>S27</f>
        <v>161.86080000000001</v>
      </c>
      <c r="T28" s="140">
        <f t="shared" ref="T28:T44" si="14">S28*R28</f>
        <v>95544.356155708811</v>
      </c>
      <c r="U28" s="148">
        <f>U27</f>
        <v>107.5628</v>
      </c>
      <c r="V28" s="145">
        <f t="shared" ref="V28:V44" si="15">U28*R28</f>
        <v>63492.942530280801</v>
      </c>
      <c r="W28" s="75">
        <f>W27</f>
        <v>5694.3279000000002</v>
      </c>
      <c r="X28" s="144">
        <f t="shared" ref="X28:X44" si="16">G28+L28+Q28+T28+V28+W28</f>
        <v>1132212.9466359899</v>
      </c>
      <c r="Y28" s="157"/>
      <c r="Z28" s="142">
        <f t="shared" ref="Z28:Z44" si="17">G28+L28+Q28</f>
        <v>967481.32005000021</v>
      </c>
      <c r="AA28" s="74">
        <f t="shared" ref="AA28:AA44" si="18">IFERROR(Z28/(SUM(C28,E28,H28,J28,M28,O28)),0)</f>
        <v>3.9400157972231207</v>
      </c>
      <c r="AB28" s="135">
        <f t="shared" ref="AB28:AB44" si="19">IFERROR((T28+V28)/R28,0)</f>
        <v>269.42360000000002</v>
      </c>
    </row>
    <row r="29" spans="1:29" x14ac:dyDescent="0.35">
      <c r="A29" s="172"/>
      <c r="B29" s="72">
        <v>45901</v>
      </c>
      <c r="C29" s="75">
        <f>'Raw Billing'!D26</f>
        <v>46140.52</v>
      </c>
      <c r="D29" s="133">
        <f>'Raw Billing'!B26</f>
        <v>3.7132000000000001</v>
      </c>
      <c r="E29" s="134"/>
      <c r="F29" s="133"/>
      <c r="G29" s="135">
        <f t="shared" ref="G29:G44" si="20">C29*D29+E29*F29</f>
        <v>171328.978864</v>
      </c>
      <c r="H29" s="73">
        <f>'Raw Billing'!D30</f>
        <v>147138.53</v>
      </c>
      <c r="I29" s="133">
        <f>'Raw Billing'!B30</f>
        <v>1.8357000000000001</v>
      </c>
      <c r="J29" s="134"/>
      <c r="K29" s="133"/>
      <c r="L29" s="74">
        <f t="shared" si="12"/>
        <v>270102.19952100003</v>
      </c>
      <c r="M29" s="75">
        <f>'Raw Billing'!D28</f>
        <v>107174.03</v>
      </c>
      <c r="N29" s="133">
        <f>'Raw Billing'!B28</f>
        <v>2.4230999999999998</v>
      </c>
      <c r="O29" s="134"/>
      <c r="P29" s="133"/>
      <c r="Q29" s="150">
        <f t="shared" si="13"/>
        <v>259693.39209299997</v>
      </c>
      <c r="R29" s="163">
        <f>'Raw Billing'!D23</f>
        <v>600.92183599999998</v>
      </c>
      <c r="S29" s="136">
        <f t="shared" ref="S29:S33" si="21">S28</f>
        <v>161.86080000000001</v>
      </c>
      <c r="T29" s="140">
        <f t="shared" si="14"/>
        <v>97265.689112428809</v>
      </c>
      <c r="U29" s="148">
        <f t="shared" ref="U29:U33" si="22">U28</f>
        <v>107.5628</v>
      </c>
      <c r="V29" s="145">
        <f t="shared" si="15"/>
        <v>64636.835261300796</v>
      </c>
      <c r="W29" s="75">
        <f t="shared" ref="W29:W33" si="23">W28</f>
        <v>5694.3279000000002</v>
      </c>
      <c r="X29" s="144">
        <f t="shared" si="16"/>
        <v>868721.42275172961</v>
      </c>
      <c r="Y29" s="157"/>
      <c r="Z29" s="142">
        <f t="shared" si="17"/>
        <v>701124.57047799998</v>
      </c>
      <c r="AA29" s="74">
        <f t="shared" si="18"/>
        <v>2.3335576073242454</v>
      </c>
      <c r="AB29" s="135">
        <f t="shared" si="19"/>
        <v>269.42360000000002</v>
      </c>
    </row>
    <row r="30" spans="1:29" x14ac:dyDescent="0.35">
      <c r="A30" s="172"/>
      <c r="B30" s="72">
        <v>45931</v>
      </c>
      <c r="C30" s="75">
        <f>'Raw Billing'!R26</f>
        <v>49665.88</v>
      </c>
      <c r="D30" s="133">
        <f>D29</f>
        <v>3.7132000000000001</v>
      </c>
      <c r="E30" s="134"/>
      <c r="F30" s="133"/>
      <c r="G30" s="135">
        <f t="shared" si="20"/>
        <v>184419.34561600001</v>
      </c>
      <c r="H30" s="73">
        <f>'Raw Billing'!R30</f>
        <v>138035.10999999999</v>
      </c>
      <c r="I30" s="133">
        <f>I29</f>
        <v>1.8357000000000001</v>
      </c>
      <c r="J30" s="134"/>
      <c r="K30" s="133"/>
      <c r="L30" s="74">
        <f t="shared" si="12"/>
        <v>253391.051427</v>
      </c>
      <c r="M30" s="75">
        <f>'Raw Billing'!R28</f>
        <v>107005.79</v>
      </c>
      <c r="N30" s="133">
        <f>N29</f>
        <v>2.4230999999999998</v>
      </c>
      <c r="O30" s="134"/>
      <c r="P30" s="133"/>
      <c r="Q30" s="150">
        <f t="shared" si="13"/>
        <v>259285.72974899996</v>
      </c>
      <c r="R30" s="163">
        <f>'Raw Billing'!R23</f>
        <v>592.43736799999999</v>
      </c>
      <c r="S30" s="136">
        <f t="shared" si="21"/>
        <v>161.86080000000001</v>
      </c>
      <c r="T30" s="140">
        <f t="shared" si="14"/>
        <v>95892.386334374401</v>
      </c>
      <c r="U30" s="148">
        <f t="shared" si="22"/>
        <v>107.5628</v>
      </c>
      <c r="V30" s="145">
        <f t="shared" si="15"/>
        <v>63724.222126710396</v>
      </c>
      <c r="W30" s="75">
        <f t="shared" si="23"/>
        <v>5694.3279000000002</v>
      </c>
      <c r="X30" s="144">
        <f t="shared" si="16"/>
        <v>862407.06315308472</v>
      </c>
      <c r="Y30" s="157"/>
      <c r="Z30" s="142">
        <f t="shared" si="17"/>
        <v>697096.12679199991</v>
      </c>
      <c r="AA30" s="74">
        <f t="shared" si="18"/>
        <v>2.3653888342575629</v>
      </c>
      <c r="AB30" s="135">
        <f t="shared" si="19"/>
        <v>269.42360000000002</v>
      </c>
    </row>
    <row r="31" spans="1:29" x14ac:dyDescent="0.35">
      <c r="A31" s="172"/>
      <c r="B31" s="72">
        <v>45962</v>
      </c>
      <c r="C31" s="75">
        <f>'Raw Billing'!D42</f>
        <v>40347.68</v>
      </c>
      <c r="D31" s="133">
        <f t="shared" ref="D31:D37" si="24">D30</f>
        <v>3.7132000000000001</v>
      </c>
      <c r="E31" s="134"/>
      <c r="F31" s="133"/>
      <c r="G31" s="135">
        <f t="shared" si="20"/>
        <v>149819.00537600002</v>
      </c>
      <c r="H31" s="73">
        <f>'Raw Billing'!D46</f>
        <v>125695.44</v>
      </c>
      <c r="I31" s="133">
        <f t="shared" ref="I31:I37" si="25">I30</f>
        <v>1.8357000000000001</v>
      </c>
      <c r="J31" s="134"/>
      <c r="K31" s="133"/>
      <c r="L31" s="74">
        <f t="shared" si="12"/>
        <v>230739.11920800002</v>
      </c>
      <c r="M31" s="75">
        <f>'Raw Billing'!D44</f>
        <v>93869.99</v>
      </c>
      <c r="N31" s="133">
        <f t="shared" ref="N31:N37" si="26">N30</f>
        <v>2.4230999999999998</v>
      </c>
      <c r="O31" s="134"/>
      <c r="P31" s="133"/>
      <c r="Q31" s="150">
        <f t="shared" si="13"/>
        <v>227456.37276900001</v>
      </c>
      <c r="R31" s="163">
        <f>'Raw Billing'!D39</f>
        <v>587.63589000000002</v>
      </c>
      <c r="S31" s="136">
        <f t="shared" si="21"/>
        <v>161.86080000000001</v>
      </c>
      <c r="T31" s="140">
        <f t="shared" si="14"/>
        <v>95115.215264112005</v>
      </c>
      <c r="U31" s="148">
        <f t="shared" si="22"/>
        <v>107.5628</v>
      </c>
      <c r="V31" s="145">
        <f t="shared" si="15"/>
        <v>63207.761708892001</v>
      </c>
      <c r="W31" s="75">
        <f t="shared" si="23"/>
        <v>5694.3279000000002</v>
      </c>
      <c r="X31" s="144">
        <f t="shared" si="16"/>
        <v>772031.80222600407</v>
      </c>
      <c r="Y31" s="157"/>
      <c r="Z31" s="142">
        <f t="shared" si="17"/>
        <v>608014.4973530001</v>
      </c>
      <c r="AA31" s="74">
        <f t="shared" si="18"/>
        <v>2.3392990732672168</v>
      </c>
      <c r="AB31" s="135">
        <f t="shared" si="19"/>
        <v>269.42359999999996</v>
      </c>
    </row>
    <row r="32" spans="1:29" x14ac:dyDescent="0.35">
      <c r="A32" s="172"/>
      <c r="B32" s="72">
        <v>45992</v>
      </c>
      <c r="C32" s="75">
        <f>'Raw Billing'!R42</f>
        <v>30983.01</v>
      </c>
      <c r="D32" s="133">
        <f t="shared" si="24"/>
        <v>3.7132000000000001</v>
      </c>
      <c r="E32" s="134"/>
      <c r="F32" s="133"/>
      <c r="G32" s="135">
        <f t="shared" si="20"/>
        <v>115046.11273199999</v>
      </c>
      <c r="H32" s="73">
        <f>'Raw Billing'!R46</f>
        <v>108748.62</v>
      </c>
      <c r="I32" s="133">
        <f t="shared" si="25"/>
        <v>1.8357000000000001</v>
      </c>
      <c r="J32" s="134"/>
      <c r="K32" s="133"/>
      <c r="L32" s="74">
        <f t="shared" si="12"/>
        <v>199629.84173400002</v>
      </c>
      <c r="M32" s="75">
        <f>'Raw Billing'!R44</f>
        <v>76012.389999999898</v>
      </c>
      <c r="N32" s="133">
        <f t="shared" si="26"/>
        <v>2.4230999999999998</v>
      </c>
      <c r="O32" s="134"/>
      <c r="P32" s="133"/>
      <c r="Q32" s="150">
        <f t="shared" si="13"/>
        <v>184185.62220899973</v>
      </c>
      <c r="R32" s="163">
        <f>'Raw Billing'!R39</f>
        <v>576.46339799999998</v>
      </c>
      <c r="S32" s="136">
        <f t="shared" si="21"/>
        <v>161.86080000000001</v>
      </c>
      <c r="T32" s="140">
        <f t="shared" si="14"/>
        <v>93306.826770998407</v>
      </c>
      <c r="U32" s="148">
        <f t="shared" si="22"/>
        <v>107.5628</v>
      </c>
      <c r="V32" s="145">
        <f t="shared" si="15"/>
        <v>62006.017186394398</v>
      </c>
      <c r="W32" s="75">
        <f t="shared" si="23"/>
        <v>5694.3279000000002</v>
      </c>
      <c r="X32" s="144">
        <f t="shared" si="16"/>
        <v>659868.74853239267</v>
      </c>
      <c r="Y32" s="157"/>
      <c r="Z32" s="142">
        <f t="shared" si="17"/>
        <v>498861.57667499979</v>
      </c>
      <c r="AA32" s="74">
        <f t="shared" si="18"/>
        <v>2.3122846078190258</v>
      </c>
      <c r="AB32" s="135">
        <f t="shared" si="19"/>
        <v>269.42359999999996</v>
      </c>
    </row>
    <row r="33" spans="1:28" x14ac:dyDescent="0.35">
      <c r="A33" s="172"/>
      <c r="B33" s="72">
        <v>46023</v>
      </c>
      <c r="C33" s="75">
        <f>'Raw Billing'!D58</f>
        <v>40917.379999999997</v>
      </c>
      <c r="D33" s="133">
        <f t="shared" si="24"/>
        <v>3.7132000000000001</v>
      </c>
      <c r="E33" s="134"/>
      <c r="F33" s="133"/>
      <c r="G33" s="135">
        <f t="shared" si="20"/>
        <v>151934.415416</v>
      </c>
      <c r="H33" s="73">
        <f>'Raw Billing'!D62</f>
        <v>113724.34</v>
      </c>
      <c r="I33" s="133">
        <f t="shared" si="25"/>
        <v>1.8357000000000001</v>
      </c>
      <c r="J33" s="134"/>
      <c r="K33" s="133"/>
      <c r="L33" s="74">
        <f t="shared" si="12"/>
        <v>208763.770938</v>
      </c>
      <c r="M33" s="75">
        <f>'Raw Billing'!D60</f>
        <v>88116.320000000094</v>
      </c>
      <c r="N33" s="133">
        <f t="shared" si="26"/>
        <v>2.4230999999999998</v>
      </c>
      <c r="O33" s="134"/>
      <c r="P33" s="133"/>
      <c r="Q33" s="150">
        <f t="shared" si="13"/>
        <v>213514.6549920002</v>
      </c>
      <c r="R33" s="163">
        <f>'Raw Billing'!D55</f>
        <v>595.78726800000004</v>
      </c>
      <c r="S33" s="136">
        <f t="shared" si="21"/>
        <v>161.86080000000001</v>
      </c>
      <c r="T33" s="140">
        <f t="shared" si="14"/>
        <v>96434.603828294406</v>
      </c>
      <c r="U33" s="148">
        <f t="shared" si="22"/>
        <v>107.5628</v>
      </c>
      <c r="V33" s="145">
        <f t="shared" si="15"/>
        <v>64084.546750430403</v>
      </c>
      <c r="W33" s="75">
        <f t="shared" si="23"/>
        <v>5694.3279000000002</v>
      </c>
      <c r="X33" s="144">
        <f t="shared" si="16"/>
        <v>740426.31982472504</v>
      </c>
      <c r="Y33" s="157"/>
      <c r="Z33" s="142">
        <f t="shared" si="17"/>
        <v>574212.8413460002</v>
      </c>
      <c r="AA33" s="74">
        <f t="shared" si="18"/>
        <v>2.3653710556651388</v>
      </c>
      <c r="AB33" s="135">
        <f t="shared" si="19"/>
        <v>269.42359999999996</v>
      </c>
    </row>
    <row r="34" spans="1:28" x14ac:dyDescent="0.35">
      <c r="A34" s="172"/>
      <c r="B34" s="72">
        <v>46054</v>
      </c>
      <c r="C34" s="75">
        <f>'Raw Billing'!R58</f>
        <v>37054.89</v>
      </c>
      <c r="D34" s="133">
        <f t="shared" si="24"/>
        <v>3.7132000000000001</v>
      </c>
      <c r="E34" s="134"/>
      <c r="F34" s="133"/>
      <c r="G34" s="135">
        <f t="shared" si="20"/>
        <v>137592.21754799999</v>
      </c>
      <c r="H34" s="73">
        <f>'Raw Billing'!Y62</f>
        <v>104607.599</v>
      </c>
      <c r="I34" s="133">
        <f t="shared" si="25"/>
        <v>1.8357000000000001</v>
      </c>
      <c r="J34" s="134"/>
      <c r="K34" s="133"/>
      <c r="L34" s="74">
        <f t="shared" si="12"/>
        <v>192028.16948430002</v>
      </c>
      <c r="M34" s="75">
        <f>'Raw Billing'!Y60</f>
        <v>80308.800000000003</v>
      </c>
      <c r="N34" s="133">
        <f t="shared" si="26"/>
        <v>2.4230999999999998</v>
      </c>
      <c r="O34" s="134"/>
      <c r="P34" s="133"/>
      <c r="Q34" s="150">
        <f>M34*N34+O34*P34</f>
        <v>194596.25328</v>
      </c>
      <c r="R34" s="163">
        <f>'Raw Billing'!Y55</f>
        <v>592.81899999999996</v>
      </c>
      <c r="S34" s="136">
        <f>'Raw Billing'!P56</f>
        <v>146.09</v>
      </c>
      <c r="T34" s="140">
        <f t="shared" si="14"/>
        <v>86604.927709999989</v>
      </c>
      <c r="U34" s="148">
        <f>'Raw Billing'!P55</f>
        <v>105.9466</v>
      </c>
      <c r="V34" s="145">
        <f t="shared" si="15"/>
        <v>62807.1574654</v>
      </c>
      <c r="W34" s="75">
        <f>'Raw Billing'!P79</f>
        <v>5207.09</v>
      </c>
      <c r="X34" s="144">
        <f t="shared" si="16"/>
        <v>678835.81548769993</v>
      </c>
      <c r="Y34" s="157"/>
      <c r="Z34" s="142">
        <f t="shared" si="17"/>
        <v>524216.64031230001</v>
      </c>
      <c r="AA34" s="74">
        <f t="shared" si="18"/>
        <v>2.3616416459711598</v>
      </c>
      <c r="AB34" s="135">
        <f t="shared" si="19"/>
        <v>252.03659999999999</v>
      </c>
    </row>
    <row r="35" spans="1:28" x14ac:dyDescent="0.35">
      <c r="A35" s="172"/>
      <c r="B35" s="72">
        <v>46082</v>
      </c>
      <c r="C35" s="75">
        <f>'Raw Billing'!K83</f>
        <v>43357.2</v>
      </c>
      <c r="D35" s="133">
        <f t="shared" si="24"/>
        <v>3.7132000000000001</v>
      </c>
      <c r="E35" s="134"/>
      <c r="F35" s="133"/>
      <c r="G35" s="135">
        <f t="shared" si="20"/>
        <v>160993.95504</v>
      </c>
      <c r="H35" s="73">
        <f>'Raw Billing'!K85</f>
        <v>94513.198999999993</v>
      </c>
      <c r="I35" s="133">
        <f t="shared" si="25"/>
        <v>1.8357000000000001</v>
      </c>
      <c r="J35" s="134"/>
      <c r="K35" s="133"/>
      <c r="L35" s="74">
        <f t="shared" si="12"/>
        <v>173497.87940430001</v>
      </c>
      <c r="M35" s="75">
        <f>'Raw Billing'!K85</f>
        <v>94513.198999999993</v>
      </c>
      <c r="N35" s="133">
        <f t="shared" si="26"/>
        <v>2.4230999999999998</v>
      </c>
      <c r="O35" s="134"/>
      <c r="P35" s="133"/>
      <c r="Q35" s="150">
        <f t="shared" ref="Q35:Q44" si="27">M35*N35+O35*P35</f>
        <v>229014.93249689997</v>
      </c>
      <c r="R35" s="163">
        <f>'Raw Billing'!K80</f>
        <v>630.68799999999999</v>
      </c>
      <c r="S35" s="136">
        <f>S34</f>
        <v>146.09</v>
      </c>
      <c r="T35" s="140">
        <f t="shared" si="14"/>
        <v>92137.209919999994</v>
      </c>
      <c r="U35" s="148">
        <f>U34</f>
        <v>105.9466</v>
      </c>
      <c r="V35" s="145">
        <f t="shared" si="15"/>
        <v>66819.249260800003</v>
      </c>
      <c r="W35" s="75">
        <f>W34</f>
        <v>5207.09</v>
      </c>
      <c r="X35" s="144">
        <f t="shared" si="16"/>
        <v>727670.31612199999</v>
      </c>
      <c r="Y35" s="157"/>
      <c r="Z35" s="142">
        <f t="shared" si="17"/>
        <v>563506.76694120001</v>
      </c>
      <c r="AA35" s="74">
        <f t="shared" si="18"/>
        <v>2.4248990539392548</v>
      </c>
      <c r="AB35" s="135">
        <f t="shared" si="19"/>
        <v>252.03660000000002</v>
      </c>
    </row>
    <row r="36" spans="1:28" x14ac:dyDescent="0.35">
      <c r="A36" s="172"/>
      <c r="B36" s="72">
        <v>46113</v>
      </c>
      <c r="C36" s="75">
        <f>'Raw Billing'!R83</f>
        <v>41631.11</v>
      </c>
      <c r="D36" s="133">
        <f t="shared" si="24"/>
        <v>3.7132000000000001</v>
      </c>
      <c r="E36" s="134"/>
      <c r="F36" s="133"/>
      <c r="G36" s="135">
        <f t="shared" si="20"/>
        <v>154584.637652</v>
      </c>
      <c r="H36" s="73">
        <f>'Raw Billing'!R87</f>
        <v>139319.34</v>
      </c>
      <c r="I36" s="133">
        <f t="shared" si="25"/>
        <v>1.8357000000000001</v>
      </c>
      <c r="J36" s="134"/>
      <c r="K36" s="133"/>
      <c r="L36" s="74">
        <f t="shared" si="12"/>
        <v>255748.51243800001</v>
      </c>
      <c r="M36" s="75">
        <f>'Raw Billing'!R85</f>
        <v>95711.720000000103</v>
      </c>
      <c r="N36" s="133">
        <f t="shared" si="26"/>
        <v>2.4230999999999998</v>
      </c>
      <c r="O36" s="134"/>
      <c r="P36" s="133"/>
      <c r="Q36" s="150">
        <f t="shared" si="27"/>
        <v>231919.06873200022</v>
      </c>
      <c r="R36" s="163">
        <f>'Raw Billing'!R80</f>
        <v>596.81708600000002</v>
      </c>
      <c r="S36" s="136">
        <f t="shared" ref="S36:S37" si="28">S35</f>
        <v>146.09</v>
      </c>
      <c r="T36" s="140">
        <f t="shared" si="14"/>
        <v>87189.008093740005</v>
      </c>
      <c r="U36" s="148">
        <f t="shared" ref="U36:U37" si="29">U35</f>
        <v>105.9466</v>
      </c>
      <c r="V36" s="145">
        <f t="shared" si="15"/>
        <v>63230.741083607601</v>
      </c>
      <c r="W36" s="75">
        <f t="shared" ref="W36:W37" si="30">W35</f>
        <v>5207.09</v>
      </c>
      <c r="X36" s="144">
        <f t="shared" si="16"/>
        <v>797879.05799934769</v>
      </c>
      <c r="Y36" s="157"/>
      <c r="Z36" s="142">
        <f t="shared" si="17"/>
        <v>642252.2188220002</v>
      </c>
      <c r="AA36" s="74">
        <f t="shared" si="18"/>
        <v>2.3214312922579907</v>
      </c>
      <c r="AB36" s="135">
        <f t="shared" si="19"/>
        <v>252.03659999999999</v>
      </c>
    </row>
    <row r="37" spans="1:28" x14ac:dyDescent="0.35">
      <c r="A37" s="172"/>
      <c r="B37" s="72">
        <v>46143</v>
      </c>
      <c r="C37" s="75">
        <f>'Raw Billing'!D107</f>
        <v>45649.32</v>
      </c>
      <c r="D37" s="133">
        <f t="shared" si="24"/>
        <v>3.7132000000000001</v>
      </c>
      <c r="E37" s="134"/>
      <c r="F37" s="133"/>
      <c r="G37" s="135">
        <f t="shared" si="20"/>
        <v>169505.055024</v>
      </c>
      <c r="H37" s="73">
        <f>'Raw Billing'!D111</f>
        <v>139985.44</v>
      </c>
      <c r="I37" s="133">
        <f t="shared" si="25"/>
        <v>1.8357000000000001</v>
      </c>
      <c r="J37" s="134"/>
      <c r="K37" s="133"/>
      <c r="L37" s="74">
        <f t="shared" si="12"/>
        <v>256971.27220800001</v>
      </c>
      <c r="M37" s="75">
        <f>'Raw Billing'!D109</f>
        <v>103848.27</v>
      </c>
      <c r="N37" s="133">
        <f t="shared" si="26"/>
        <v>2.4230999999999998</v>
      </c>
      <c r="O37" s="134"/>
      <c r="P37" s="133"/>
      <c r="Q37" s="150">
        <f t="shared" si="27"/>
        <v>251634.74303699998</v>
      </c>
      <c r="R37" s="163">
        <f>'Raw Billing'!D104</f>
        <v>594.15233000000001</v>
      </c>
      <c r="S37" s="136">
        <f t="shared" si="28"/>
        <v>146.09</v>
      </c>
      <c r="T37" s="140">
        <f t="shared" si="14"/>
        <v>86799.713889699997</v>
      </c>
      <c r="U37" s="148">
        <f t="shared" si="29"/>
        <v>105.9466</v>
      </c>
      <c r="V37" s="145">
        <f t="shared" si="15"/>
        <v>62948.419245577999</v>
      </c>
      <c r="W37" s="75">
        <f t="shared" si="30"/>
        <v>5207.09</v>
      </c>
      <c r="X37" s="144">
        <f t="shared" si="16"/>
        <v>833066.293404278</v>
      </c>
      <c r="Y37" s="157"/>
      <c r="Z37" s="142">
        <f t="shared" si="17"/>
        <v>678111.07026900002</v>
      </c>
      <c r="AA37" s="74">
        <f t="shared" si="18"/>
        <v>2.342489887123953</v>
      </c>
      <c r="AB37" s="135">
        <f t="shared" si="19"/>
        <v>252.03660000000002</v>
      </c>
    </row>
    <row r="38" spans="1:28" x14ac:dyDescent="0.35">
      <c r="A38" s="172"/>
      <c r="B38" s="72">
        <v>46174</v>
      </c>
      <c r="C38" s="75"/>
      <c r="D38" s="133"/>
      <c r="E38" s="134">
        <v>41880</v>
      </c>
      <c r="F38" s="133">
        <f>'Raw Billing'!I106</f>
        <v>10.486000000000001</v>
      </c>
      <c r="G38" s="135">
        <f>C38*D38+E38*F38</f>
        <v>439153.68000000005</v>
      </c>
      <c r="H38" s="73"/>
      <c r="I38" s="133"/>
      <c r="J38" s="134">
        <v>116686.8</v>
      </c>
      <c r="K38" s="133">
        <f>'Raw Billing'!I110</f>
        <v>1.8480000000000001</v>
      </c>
      <c r="L38" s="74">
        <f t="shared" si="12"/>
        <v>215637.20640000002</v>
      </c>
      <c r="M38" s="75"/>
      <c r="N38" s="133"/>
      <c r="O38" s="134">
        <v>95230.8</v>
      </c>
      <c r="P38" s="133">
        <f>'Raw Billing'!I108</f>
        <v>3.036</v>
      </c>
      <c r="Q38" s="150">
        <f t="shared" si="27"/>
        <v>289120.70880000002</v>
      </c>
      <c r="R38" s="163">
        <v>602.63400000000001</v>
      </c>
      <c r="S38" s="136">
        <f>S37</f>
        <v>146.09</v>
      </c>
      <c r="T38" s="140">
        <f t="shared" si="14"/>
        <v>88038.801059999998</v>
      </c>
      <c r="U38" s="148">
        <v>101.12</v>
      </c>
      <c r="V38" s="145">
        <f t="shared" si="15"/>
        <v>60938.350080000004</v>
      </c>
      <c r="W38" s="75">
        <v>6195.35</v>
      </c>
      <c r="X38" s="144">
        <f t="shared" si="16"/>
        <v>1099084.0963400002</v>
      </c>
      <c r="Y38" s="157"/>
      <c r="Z38" s="142">
        <f t="shared" si="17"/>
        <v>943911.5952000001</v>
      </c>
      <c r="AA38" s="74">
        <f t="shared" si="18"/>
        <v>3.7191509896074675</v>
      </c>
      <c r="AB38" s="135">
        <f t="shared" si="19"/>
        <v>247.21</v>
      </c>
    </row>
    <row r="39" spans="1:28" x14ac:dyDescent="0.35">
      <c r="A39" s="172"/>
      <c r="B39" s="72">
        <v>46204</v>
      </c>
      <c r="C39" s="75"/>
      <c r="D39" s="133"/>
      <c r="E39" s="165">
        <f>'Billing - 8 Field Street'!D8</f>
        <v>54891.823081570983</v>
      </c>
      <c r="F39" s="133">
        <f>'Raw Billing'!B122</f>
        <v>11.4354</v>
      </c>
      <c r="G39" s="135">
        <f t="shared" si="20"/>
        <v>627709.95366699679</v>
      </c>
      <c r="H39" s="73"/>
      <c r="I39" s="133"/>
      <c r="J39" s="165">
        <f>'Billing - 8 Field Street'!D12</f>
        <v>140252.84279365416</v>
      </c>
      <c r="K39" s="150">
        <f>'Raw Billing'!B126</f>
        <v>2.0286</v>
      </c>
      <c r="L39" s="74">
        <f t="shared" si="12"/>
        <v>284516.91689120681</v>
      </c>
      <c r="M39" s="75"/>
      <c r="N39" s="133"/>
      <c r="O39" s="165">
        <f>'Billing - 8 Field Street'!D10</f>
        <v>117534.54287771918</v>
      </c>
      <c r="P39" s="133">
        <f>'Raw Billing'!B124</f>
        <v>3.3142</v>
      </c>
      <c r="Q39" s="150">
        <f t="shared" si="27"/>
        <v>389532.9820053369</v>
      </c>
      <c r="R39" s="166">
        <f>'Billing - 8 Field Street'!D6</f>
        <v>628.48638794999999</v>
      </c>
      <c r="S39" s="136">
        <f>'Raw Billing'!B121</f>
        <v>159.25</v>
      </c>
      <c r="T39" s="140">
        <f t="shared" si="14"/>
        <v>100086.4572810375</v>
      </c>
      <c r="U39" s="148">
        <f>'Raw Billing'!B120</f>
        <v>112.25</v>
      </c>
      <c r="V39" s="145">
        <f t="shared" si="15"/>
        <v>70547.597047387506</v>
      </c>
      <c r="W39" s="75">
        <f>'Raw Billing'!B119</f>
        <v>5676.25</v>
      </c>
      <c r="X39" s="144">
        <f t="shared" si="16"/>
        <v>1478070.1568919653</v>
      </c>
      <c r="Y39" s="157"/>
      <c r="Z39" s="142">
        <f t="shared" si="17"/>
        <v>1301759.8525635405</v>
      </c>
      <c r="AA39" s="74">
        <f t="shared" si="18"/>
        <v>4.1632440409304392</v>
      </c>
      <c r="AB39" s="135">
        <f t="shared" si="19"/>
        <v>271.5</v>
      </c>
    </row>
    <row r="40" spans="1:28" x14ac:dyDescent="0.35">
      <c r="A40" s="172"/>
      <c r="B40" s="72">
        <v>46235</v>
      </c>
      <c r="C40" s="75"/>
      <c r="D40" s="133"/>
      <c r="E40" s="134"/>
      <c r="F40" s="133"/>
      <c r="G40" s="135">
        <f t="shared" si="20"/>
        <v>0</v>
      </c>
      <c r="H40" s="73"/>
      <c r="I40" s="133"/>
      <c r="J40" s="134"/>
      <c r="K40" s="133"/>
      <c r="L40" s="74">
        <f t="shared" si="12"/>
        <v>0</v>
      </c>
      <c r="M40" s="75"/>
      <c r="N40" s="133"/>
      <c r="O40" s="134"/>
      <c r="P40" s="133"/>
      <c r="Q40" s="150">
        <f t="shared" si="27"/>
        <v>0</v>
      </c>
      <c r="R40" s="163"/>
      <c r="S40" s="136"/>
      <c r="T40" s="140">
        <f t="shared" si="14"/>
        <v>0</v>
      </c>
      <c r="U40" s="148"/>
      <c r="V40" s="145">
        <f t="shared" si="15"/>
        <v>0</v>
      </c>
      <c r="W40" s="75"/>
      <c r="X40" s="144">
        <f t="shared" si="16"/>
        <v>0</v>
      </c>
      <c r="Y40" s="157"/>
      <c r="Z40" s="142">
        <f t="shared" si="17"/>
        <v>0</v>
      </c>
      <c r="AA40" s="74">
        <f t="shared" si="18"/>
        <v>0</v>
      </c>
      <c r="AB40" s="135">
        <f t="shared" si="19"/>
        <v>0</v>
      </c>
    </row>
    <row r="41" spans="1:28" x14ac:dyDescent="0.35">
      <c r="A41" s="172"/>
      <c r="B41" s="72">
        <v>46266</v>
      </c>
      <c r="C41" s="75"/>
      <c r="D41" s="133"/>
      <c r="E41" s="134"/>
      <c r="F41" s="133"/>
      <c r="G41" s="135">
        <f t="shared" si="20"/>
        <v>0</v>
      </c>
      <c r="H41" s="73"/>
      <c r="I41" s="133"/>
      <c r="J41" s="134"/>
      <c r="K41" s="133"/>
      <c r="L41" s="74">
        <f t="shared" si="12"/>
        <v>0</v>
      </c>
      <c r="M41" s="75"/>
      <c r="N41" s="133"/>
      <c r="O41" s="134"/>
      <c r="P41" s="133"/>
      <c r="Q41" s="150">
        <f t="shared" si="27"/>
        <v>0</v>
      </c>
      <c r="R41" s="163"/>
      <c r="S41" s="136"/>
      <c r="T41" s="140">
        <f t="shared" si="14"/>
        <v>0</v>
      </c>
      <c r="U41" s="148"/>
      <c r="V41" s="145">
        <f t="shared" si="15"/>
        <v>0</v>
      </c>
      <c r="W41" s="75"/>
      <c r="X41" s="144">
        <f t="shared" si="16"/>
        <v>0</v>
      </c>
      <c r="Y41" s="157"/>
      <c r="Z41" s="142">
        <f t="shared" si="17"/>
        <v>0</v>
      </c>
      <c r="AA41" s="74">
        <f t="shared" si="18"/>
        <v>0</v>
      </c>
      <c r="AB41" s="135">
        <f t="shared" si="19"/>
        <v>0</v>
      </c>
    </row>
    <row r="42" spans="1:28" x14ac:dyDescent="0.35">
      <c r="A42" s="172"/>
      <c r="B42" s="72">
        <v>46296</v>
      </c>
      <c r="C42" s="75"/>
      <c r="D42" s="133"/>
      <c r="E42" s="134"/>
      <c r="F42" s="133"/>
      <c r="G42" s="135">
        <f t="shared" si="20"/>
        <v>0</v>
      </c>
      <c r="H42" s="73"/>
      <c r="I42" s="133"/>
      <c r="J42" s="134"/>
      <c r="K42" s="133"/>
      <c r="L42" s="74">
        <f t="shared" si="12"/>
        <v>0</v>
      </c>
      <c r="M42" s="75"/>
      <c r="N42" s="133"/>
      <c r="O42" s="134"/>
      <c r="P42" s="133"/>
      <c r="Q42" s="150">
        <f t="shared" si="27"/>
        <v>0</v>
      </c>
      <c r="R42" s="163"/>
      <c r="S42" s="136"/>
      <c r="T42" s="140">
        <f t="shared" si="14"/>
        <v>0</v>
      </c>
      <c r="U42" s="148"/>
      <c r="V42" s="145">
        <f t="shared" si="15"/>
        <v>0</v>
      </c>
      <c r="W42" s="75"/>
      <c r="X42" s="144">
        <f t="shared" si="16"/>
        <v>0</v>
      </c>
      <c r="Y42" s="157"/>
      <c r="Z42" s="142">
        <f t="shared" si="17"/>
        <v>0</v>
      </c>
      <c r="AA42" s="74">
        <f t="shared" si="18"/>
        <v>0</v>
      </c>
      <c r="AB42" s="135">
        <f t="shared" si="19"/>
        <v>0</v>
      </c>
    </row>
    <row r="43" spans="1:28" x14ac:dyDescent="0.35">
      <c r="A43" s="172"/>
      <c r="B43" s="72">
        <v>46327</v>
      </c>
      <c r="C43" s="75"/>
      <c r="D43" s="133"/>
      <c r="E43" s="134"/>
      <c r="F43" s="133"/>
      <c r="G43" s="135">
        <f t="shared" si="20"/>
        <v>0</v>
      </c>
      <c r="H43" s="73"/>
      <c r="I43" s="133"/>
      <c r="J43" s="134"/>
      <c r="K43" s="133"/>
      <c r="L43" s="74">
        <f t="shared" si="12"/>
        <v>0</v>
      </c>
      <c r="M43" s="75"/>
      <c r="N43" s="133"/>
      <c r="O43" s="134"/>
      <c r="P43" s="133"/>
      <c r="Q43" s="150">
        <f t="shared" si="27"/>
        <v>0</v>
      </c>
      <c r="R43" s="163"/>
      <c r="S43" s="136"/>
      <c r="T43" s="140">
        <f t="shared" si="14"/>
        <v>0</v>
      </c>
      <c r="U43" s="148"/>
      <c r="V43" s="145">
        <f t="shared" si="15"/>
        <v>0</v>
      </c>
      <c r="W43" s="75"/>
      <c r="X43" s="144">
        <f t="shared" si="16"/>
        <v>0</v>
      </c>
      <c r="Y43" s="157"/>
      <c r="Z43" s="142">
        <f t="shared" si="17"/>
        <v>0</v>
      </c>
      <c r="AA43" s="74">
        <f t="shared" si="18"/>
        <v>0</v>
      </c>
      <c r="AB43" s="135">
        <f t="shared" si="19"/>
        <v>0</v>
      </c>
    </row>
    <row r="44" spans="1:28" ht="15" thickBot="1" x14ac:dyDescent="0.4">
      <c r="A44" s="172"/>
      <c r="B44" s="72">
        <v>46357</v>
      </c>
      <c r="C44" s="75"/>
      <c r="D44" s="133"/>
      <c r="E44" s="134"/>
      <c r="F44" s="133"/>
      <c r="G44" s="135">
        <f t="shared" si="20"/>
        <v>0</v>
      </c>
      <c r="H44" s="73"/>
      <c r="I44" s="133"/>
      <c r="J44" s="134"/>
      <c r="K44" s="133"/>
      <c r="L44" s="74">
        <f t="shared" si="12"/>
        <v>0</v>
      </c>
      <c r="M44" s="75"/>
      <c r="N44" s="133"/>
      <c r="O44" s="134"/>
      <c r="P44" s="133"/>
      <c r="Q44" s="150">
        <f t="shared" si="27"/>
        <v>0</v>
      </c>
      <c r="R44" s="164"/>
      <c r="S44" s="160"/>
      <c r="T44" s="141">
        <f t="shared" si="14"/>
        <v>0</v>
      </c>
      <c r="U44" s="149"/>
      <c r="V44" s="146">
        <f t="shared" si="15"/>
        <v>0</v>
      </c>
      <c r="W44" s="75"/>
      <c r="X44" s="144">
        <f t="shared" si="16"/>
        <v>0</v>
      </c>
      <c r="Y44" s="157"/>
      <c r="Z44" s="142">
        <f t="shared" si="17"/>
        <v>0</v>
      </c>
      <c r="AA44" s="74">
        <f t="shared" si="18"/>
        <v>0</v>
      </c>
      <c r="AB44" s="135">
        <f t="shared" si="19"/>
        <v>0</v>
      </c>
    </row>
    <row r="45" spans="1:28" ht="15" thickBot="1" x14ac:dyDescent="0.4">
      <c r="A45" s="173"/>
      <c r="B45" s="76" t="s">
        <v>98</v>
      </c>
      <c r="C45" s="77">
        <f t="shared" ref="C45:S45" si="31">AVERAGE(C27:C44)</f>
        <v>41749.665555555555</v>
      </c>
      <c r="D45" s="78">
        <f t="shared" si="31"/>
        <v>3.7131999999999996</v>
      </c>
      <c r="E45" s="79">
        <f t="shared" si="31"/>
        <v>45726.19827039275</v>
      </c>
      <c r="F45" s="78">
        <f t="shared" si="31"/>
        <v>11.19295</v>
      </c>
      <c r="G45" s="80">
        <f t="shared" si="31"/>
        <v>191454.09809883314</v>
      </c>
      <c r="H45" s="77">
        <f t="shared" si="31"/>
        <v>123529.73533333333</v>
      </c>
      <c r="I45" s="78">
        <f t="shared" si="31"/>
        <v>1.8356999999999997</v>
      </c>
      <c r="J45" s="81">
        <f t="shared" si="31"/>
        <v>123735.49069841355</v>
      </c>
      <c r="K45" s="78">
        <f t="shared" si="31"/>
        <v>1.97875</v>
      </c>
      <c r="L45" s="80">
        <f t="shared" si="31"/>
        <v>167866.67912210041</v>
      </c>
      <c r="M45" s="77">
        <f t="shared" si="31"/>
        <v>94062.278777777799</v>
      </c>
      <c r="N45" s="78">
        <f t="shared" si="31"/>
        <v>2.4230999999999998</v>
      </c>
      <c r="O45" s="81">
        <f t="shared" si="31"/>
        <v>99240.038219429814</v>
      </c>
      <c r="P45" s="78">
        <f t="shared" si="31"/>
        <v>3.2399</v>
      </c>
      <c r="Q45" s="151">
        <f t="shared" si="31"/>
        <v>185481.2804872354</v>
      </c>
      <c r="R45" s="84">
        <f t="shared" si="31"/>
        <v>598.20819322692307</v>
      </c>
      <c r="S45" s="80">
        <f t="shared" si="31"/>
        <v>155.5942769230769</v>
      </c>
      <c r="T45" s="154">
        <f t="shared" ref="T45" si="32">AVERAGE(T27:T44)</f>
        <v>67195.602232173551</v>
      </c>
      <c r="U45" s="113">
        <f t="shared" ref="U45" si="33">AVERAGE(U27:U44)</f>
        <v>106.93046153846154</v>
      </c>
      <c r="V45" s="113">
        <f t="shared" ref="V45" si="34">AVERAGE(V27:V44)</f>
        <v>46202.513415690861</v>
      </c>
      <c r="W45" s="77">
        <f t="shared" ref="W45" si="35">AVERAGE(W27:W44)</f>
        <v>5581.5580999999993</v>
      </c>
      <c r="X45" s="113">
        <f t="shared" ref="X45" si="36">AVERAGE(X27:X44)</f>
        <v>662231.2986504779</v>
      </c>
      <c r="Y45" s="158" t="e">
        <f t="shared" ref="Y45" si="37">AVERAGE(Y27:Y44)</f>
        <v>#DIV/0!</v>
      </c>
      <c r="Z45" s="143">
        <f t="shared" ref="Z45" si="38">AVERAGE(Z27:Z44)</f>
        <v>544802.05770816898</v>
      </c>
      <c r="AA45" s="83">
        <f t="shared" ref="AA45" si="39">AVERAGE(AA27:AA44)</f>
        <v>2.0665129037208474</v>
      </c>
      <c r="AB45" s="80">
        <f t="shared" ref="AB45" si="40">AVERAGE(AB27:AB44)</f>
        <v>189.60119999999998</v>
      </c>
    </row>
    <row r="46" spans="1:28" ht="15" thickBot="1" x14ac:dyDescent="0.4"/>
    <row r="47" spans="1:28" ht="15" thickBot="1" x14ac:dyDescent="0.4">
      <c r="A47" s="171" t="s">
        <v>128</v>
      </c>
      <c r="B47" s="174" t="s">
        <v>132</v>
      </c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6"/>
    </row>
    <row r="48" spans="1:28" ht="15" thickBot="1" x14ac:dyDescent="0.4">
      <c r="A48" s="172"/>
      <c r="B48" s="85" t="s">
        <v>76</v>
      </c>
      <c r="C48" s="86" t="s">
        <v>133</v>
      </c>
      <c r="D48" s="87" t="s">
        <v>134</v>
      </c>
      <c r="E48" s="88" t="s">
        <v>101</v>
      </c>
      <c r="F48" s="86" t="s">
        <v>135</v>
      </c>
      <c r="G48" s="87" t="s">
        <v>136</v>
      </c>
      <c r="H48" s="88" t="s">
        <v>104</v>
      </c>
      <c r="I48" s="86" t="s">
        <v>29</v>
      </c>
      <c r="J48" s="87" t="s">
        <v>105</v>
      </c>
      <c r="K48" s="88" t="s">
        <v>106</v>
      </c>
      <c r="L48" s="88" t="s">
        <v>107</v>
      </c>
      <c r="M48" s="89" t="s">
        <v>131</v>
      </c>
      <c r="N48" s="88" t="s">
        <v>108</v>
      </c>
      <c r="O48" s="88" t="s">
        <v>109</v>
      </c>
      <c r="P48" s="88" t="s">
        <v>91</v>
      </c>
    </row>
    <row r="49" spans="1:16" ht="15" thickBot="1" x14ac:dyDescent="0.4">
      <c r="A49" s="172"/>
      <c r="B49" s="90" t="s">
        <v>93</v>
      </c>
      <c r="C49" s="91" t="s">
        <v>110</v>
      </c>
      <c r="D49" s="92" t="s">
        <v>111</v>
      </c>
      <c r="E49" s="93" t="s">
        <v>96</v>
      </c>
      <c r="F49" s="91" t="s">
        <v>110</v>
      </c>
      <c r="G49" s="92" t="s">
        <v>111</v>
      </c>
      <c r="H49" s="93" t="s">
        <v>96</v>
      </c>
      <c r="I49" s="91" t="s">
        <v>110</v>
      </c>
      <c r="J49" s="92" t="s">
        <v>96</v>
      </c>
      <c r="K49" s="93" t="s">
        <v>112</v>
      </c>
      <c r="L49" s="93" t="s">
        <v>96</v>
      </c>
      <c r="M49" s="93" t="s">
        <v>112</v>
      </c>
      <c r="N49" s="93" t="s">
        <v>96</v>
      </c>
      <c r="O49" s="31" t="s">
        <v>96</v>
      </c>
      <c r="P49" s="54" t="s">
        <v>96</v>
      </c>
    </row>
    <row r="50" spans="1:16" x14ac:dyDescent="0.35">
      <c r="A50" s="172"/>
      <c r="B50" s="94">
        <v>45839</v>
      </c>
      <c r="C50" s="102"/>
      <c r="D50" s="95">
        <f>Tariffs!$C$15</f>
        <v>49.11</v>
      </c>
      <c r="E50" s="98">
        <f>C50*D50</f>
        <v>0</v>
      </c>
      <c r="F50" s="97"/>
      <c r="G50" s="95">
        <f>Tariffs!$C$16</f>
        <v>49.88</v>
      </c>
      <c r="H50" s="96">
        <f t="shared" ref="H50:H67" si="41">G50*F50</f>
        <v>0</v>
      </c>
      <c r="I50" s="97">
        <f>F50+C50</f>
        <v>0</v>
      </c>
      <c r="J50" s="95">
        <f>Tariffs!$C$21</f>
        <v>18.91</v>
      </c>
      <c r="K50" s="98">
        <f>J50*I50</f>
        <v>0</v>
      </c>
      <c r="L50" s="98"/>
      <c r="M50" s="99">
        <f>(E50+H50+K50+L50)</f>
        <v>0</v>
      </c>
      <c r="N50" s="100"/>
      <c r="O50" s="99"/>
      <c r="P50" s="101">
        <f>N50+M50+O50</f>
        <v>0</v>
      </c>
    </row>
    <row r="51" spans="1:16" x14ac:dyDescent="0.35">
      <c r="A51" s="172"/>
      <c r="B51" s="94">
        <v>45870</v>
      </c>
      <c r="C51" s="102"/>
      <c r="D51" s="95">
        <f>Tariffs!$C$15</f>
        <v>49.11</v>
      </c>
      <c r="E51" s="98">
        <f t="shared" ref="E51:E67" si="42">C51*D51</f>
        <v>0</v>
      </c>
      <c r="F51" s="103"/>
      <c r="G51" s="95">
        <f>Tariffs!$C$16</f>
        <v>49.88</v>
      </c>
      <c r="H51" s="96">
        <f t="shared" si="41"/>
        <v>0</v>
      </c>
      <c r="I51" s="97">
        <f t="shared" ref="I51:I67" si="43">F51+C51</f>
        <v>0</v>
      </c>
      <c r="J51" s="95">
        <f>Tariffs!$C$21</f>
        <v>18.91</v>
      </c>
      <c r="K51" s="98">
        <f t="shared" ref="K51:K67" si="44">J51*I51</f>
        <v>0</v>
      </c>
      <c r="L51" s="98"/>
      <c r="M51" s="99">
        <f t="shared" ref="M51:M67" si="45">(E51+H51+K51+L51)</f>
        <v>0</v>
      </c>
      <c r="N51" s="104"/>
      <c r="O51" s="99"/>
      <c r="P51" s="101">
        <f t="shared" ref="P51:P67" si="46">N51+M51+O51</f>
        <v>0</v>
      </c>
    </row>
    <row r="52" spans="1:16" x14ac:dyDescent="0.35">
      <c r="A52" s="172"/>
      <c r="B52" s="105">
        <v>45901</v>
      </c>
      <c r="C52" s="102"/>
      <c r="D52" s="95">
        <f>Tariffs!$C$15</f>
        <v>49.11</v>
      </c>
      <c r="E52" s="98">
        <f t="shared" si="42"/>
        <v>0</v>
      </c>
      <c r="F52" s="103"/>
      <c r="G52" s="95">
        <f>Tariffs!$C$16</f>
        <v>49.88</v>
      </c>
      <c r="H52" s="96">
        <f t="shared" si="41"/>
        <v>0</v>
      </c>
      <c r="I52" s="97">
        <f t="shared" si="43"/>
        <v>0</v>
      </c>
      <c r="J52" s="95">
        <f>Tariffs!$C$21</f>
        <v>18.91</v>
      </c>
      <c r="K52" s="98">
        <f t="shared" si="44"/>
        <v>0</v>
      </c>
      <c r="L52" s="98"/>
      <c r="M52" s="99">
        <f t="shared" si="45"/>
        <v>0</v>
      </c>
      <c r="N52" s="104"/>
      <c r="O52" s="99"/>
      <c r="P52" s="101">
        <f t="shared" si="46"/>
        <v>0</v>
      </c>
    </row>
    <row r="53" spans="1:16" x14ac:dyDescent="0.35">
      <c r="A53" s="172"/>
      <c r="B53" s="105">
        <v>45931</v>
      </c>
      <c r="C53" s="102"/>
      <c r="D53" s="95">
        <f>Tariffs!$C$15</f>
        <v>49.11</v>
      </c>
      <c r="E53" s="98">
        <f t="shared" si="42"/>
        <v>0</v>
      </c>
      <c r="F53" s="106"/>
      <c r="G53" s="95">
        <f>Tariffs!$C$16</f>
        <v>49.88</v>
      </c>
      <c r="H53" s="96">
        <f t="shared" si="41"/>
        <v>0</v>
      </c>
      <c r="I53" s="97">
        <f t="shared" si="43"/>
        <v>0</v>
      </c>
      <c r="J53" s="95">
        <f>Tariffs!$C$21</f>
        <v>18.91</v>
      </c>
      <c r="K53" s="98">
        <f t="shared" si="44"/>
        <v>0</v>
      </c>
      <c r="L53" s="98"/>
      <c r="M53" s="99">
        <f t="shared" si="45"/>
        <v>0</v>
      </c>
      <c r="N53" s="104"/>
      <c r="O53" s="99"/>
      <c r="P53" s="101">
        <f t="shared" si="46"/>
        <v>0</v>
      </c>
    </row>
    <row r="54" spans="1:16" x14ac:dyDescent="0.35">
      <c r="A54" s="172"/>
      <c r="B54" s="105">
        <v>45962</v>
      </c>
      <c r="C54" s="102"/>
      <c r="D54" s="95">
        <f>Tariffs!$C$15</f>
        <v>49.11</v>
      </c>
      <c r="E54" s="98">
        <f t="shared" si="42"/>
        <v>0</v>
      </c>
      <c r="F54" s="103"/>
      <c r="G54" s="95">
        <f>Tariffs!$C$16</f>
        <v>49.88</v>
      </c>
      <c r="H54" s="96">
        <f t="shared" si="41"/>
        <v>0</v>
      </c>
      <c r="I54" s="97">
        <f t="shared" si="43"/>
        <v>0</v>
      </c>
      <c r="J54" s="95">
        <f>Tariffs!$C$21</f>
        <v>18.91</v>
      </c>
      <c r="K54" s="98">
        <f t="shared" si="44"/>
        <v>0</v>
      </c>
      <c r="L54" s="98"/>
      <c r="M54" s="99">
        <f t="shared" si="45"/>
        <v>0</v>
      </c>
      <c r="N54" s="104"/>
      <c r="O54" s="99"/>
      <c r="P54" s="101">
        <f t="shared" si="46"/>
        <v>0</v>
      </c>
    </row>
    <row r="55" spans="1:16" x14ac:dyDescent="0.35">
      <c r="A55" s="172"/>
      <c r="B55" s="105">
        <v>45992</v>
      </c>
      <c r="C55" s="102"/>
      <c r="D55" s="95">
        <f>Tariffs!$C$15</f>
        <v>49.11</v>
      </c>
      <c r="E55" s="98">
        <f t="shared" si="42"/>
        <v>0</v>
      </c>
      <c r="F55" s="103"/>
      <c r="G55" s="95">
        <f>Tariffs!$C$16</f>
        <v>49.88</v>
      </c>
      <c r="H55" s="96">
        <f t="shared" si="41"/>
        <v>0</v>
      </c>
      <c r="I55" s="97">
        <f t="shared" si="43"/>
        <v>0</v>
      </c>
      <c r="J55" s="95">
        <f>Tariffs!$C$21</f>
        <v>18.91</v>
      </c>
      <c r="K55" s="98">
        <f t="shared" si="44"/>
        <v>0</v>
      </c>
      <c r="L55" s="98"/>
      <c r="M55" s="99">
        <f t="shared" si="45"/>
        <v>0</v>
      </c>
      <c r="N55" s="104"/>
      <c r="O55" s="99"/>
      <c r="P55" s="101">
        <f t="shared" si="46"/>
        <v>0</v>
      </c>
    </row>
    <row r="56" spans="1:16" x14ac:dyDescent="0.35">
      <c r="A56" s="172"/>
      <c r="B56" s="105">
        <v>46023</v>
      </c>
      <c r="C56" s="102"/>
      <c r="D56" s="95">
        <f>Tariffs!$C$15</f>
        <v>49.11</v>
      </c>
      <c r="E56" s="98">
        <f t="shared" si="42"/>
        <v>0</v>
      </c>
      <c r="F56" s="103"/>
      <c r="G56" s="95">
        <f>Tariffs!$C$16</f>
        <v>49.88</v>
      </c>
      <c r="H56" s="96">
        <f t="shared" si="41"/>
        <v>0</v>
      </c>
      <c r="I56" s="97">
        <f t="shared" si="43"/>
        <v>0</v>
      </c>
      <c r="J56" s="95">
        <f>Tariffs!$C$21</f>
        <v>18.91</v>
      </c>
      <c r="K56" s="98">
        <f t="shared" si="44"/>
        <v>0</v>
      </c>
      <c r="L56" s="98"/>
      <c r="M56" s="99">
        <f t="shared" si="45"/>
        <v>0</v>
      </c>
      <c r="N56" s="104"/>
      <c r="O56" s="99"/>
      <c r="P56" s="101">
        <f t="shared" si="46"/>
        <v>0</v>
      </c>
    </row>
    <row r="57" spans="1:16" x14ac:dyDescent="0.35">
      <c r="A57" s="172"/>
      <c r="B57" s="105">
        <v>46054</v>
      </c>
      <c r="C57" s="102"/>
      <c r="D57" s="95">
        <f>Tariffs!$C$15</f>
        <v>49.11</v>
      </c>
      <c r="E57" s="98">
        <f t="shared" si="42"/>
        <v>0</v>
      </c>
      <c r="F57" s="103"/>
      <c r="G57" s="95">
        <f>Tariffs!$C$16</f>
        <v>49.88</v>
      </c>
      <c r="H57" s="96">
        <f t="shared" si="41"/>
        <v>0</v>
      </c>
      <c r="I57" s="97">
        <f t="shared" si="43"/>
        <v>0</v>
      </c>
      <c r="J57" s="95">
        <f>Tariffs!$C$21</f>
        <v>18.91</v>
      </c>
      <c r="K57" s="98">
        <f t="shared" si="44"/>
        <v>0</v>
      </c>
      <c r="L57" s="98"/>
      <c r="M57" s="99">
        <f t="shared" si="45"/>
        <v>0</v>
      </c>
      <c r="N57" s="104"/>
      <c r="O57" s="99"/>
      <c r="P57" s="101">
        <f t="shared" si="46"/>
        <v>0</v>
      </c>
    </row>
    <row r="58" spans="1:16" x14ac:dyDescent="0.35">
      <c r="A58" s="172"/>
      <c r="B58" s="105">
        <v>46082</v>
      </c>
      <c r="C58" s="102"/>
      <c r="D58" s="95">
        <f>Tariffs!$C$15</f>
        <v>49.11</v>
      </c>
      <c r="E58" s="98">
        <f t="shared" si="42"/>
        <v>0</v>
      </c>
      <c r="F58" s="103"/>
      <c r="G58" s="95">
        <f>Tariffs!$C$16</f>
        <v>49.88</v>
      </c>
      <c r="H58" s="96">
        <f t="shared" si="41"/>
        <v>0</v>
      </c>
      <c r="I58" s="97">
        <f t="shared" si="43"/>
        <v>0</v>
      </c>
      <c r="J58" s="95">
        <f>Tariffs!$C$21</f>
        <v>18.91</v>
      </c>
      <c r="K58" s="98">
        <f t="shared" si="44"/>
        <v>0</v>
      </c>
      <c r="L58" s="98"/>
      <c r="M58" s="99">
        <f t="shared" si="45"/>
        <v>0</v>
      </c>
      <c r="N58" s="104"/>
      <c r="O58" s="99"/>
      <c r="P58" s="101">
        <f t="shared" si="46"/>
        <v>0</v>
      </c>
    </row>
    <row r="59" spans="1:16" x14ac:dyDescent="0.35">
      <c r="A59" s="172"/>
      <c r="B59" s="105">
        <v>46113</v>
      </c>
      <c r="C59" s="102"/>
      <c r="D59" s="95">
        <f>Tariffs!$C$15</f>
        <v>49.11</v>
      </c>
      <c r="E59" s="98">
        <f t="shared" si="42"/>
        <v>0</v>
      </c>
      <c r="F59" s="103"/>
      <c r="G59" s="95">
        <f>Tariffs!$C$16</f>
        <v>49.88</v>
      </c>
      <c r="H59" s="96">
        <f t="shared" si="41"/>
        <v>0</v>
      </c>
      <c r="I59" s="97">
        <f t="shared" si="43"/>
        <v>0</v>
      </c>
      <c r="J59" s="95">
        <f>Tariffs!$C$21</f>
        <v>18.91</v>
      </c>
      <c r="K59" s="98">
        <f t="shared" si="44"/>
        <v>0</v>
      </c>
      <c r="L59" s="98"/>
      <c r="M59" s="99">
        <f t="shared" si="45"/>
        <v>0</v>
      </c>
      <c r="N59" s="104"/>
      <c r="O59" s="99"/>
      <c r="P59" s="101">
        <f t="shared" si="46"/>
        <v>0</v>
      </c>
    </row>
    <row r="60" spans="1:16" x14ac:dyDescent="0.35">
      <c r="A60" s="172"/>
      <c r="B60" s="105">
        <v>46143</v>
      </c>
      <c r="C60" s="107"/>
      <c r="D60" s="95">
        <f>Tariffs!$C$15</f>
        <v>49.11</v>
      </c>
      <c r="E60" s="98">
        <f t="shared" si="42"/>
        <v>0</v>
      </c>
      <c r="F60" s="109"/>
      <c r="G60" s="95">
        <f>Tariffs!$C$16</f>
        <v>49.88</v>
      </c>
      <c r="H60" s="96">
        <f t="shared" si="41"/>
        <v>0</v>
      </c>
      <c r="I60" s="97">
        <f t="shared" si="43"/>
        <v>0</v>
      </c>
      <c r="J60" s="95">
        <f>Tariffs!$C$21</f>
        <v>18.91</v>
      </c>
      <c r="K60" s="98">
        <f t="shared" si="44"/>
        <v>0</v>
      </c>
      <c r="L60" s="98"/>
      <c r="M60" s="99">
        <f t="shared" si="45"/>
        <v>0</v>
      </c>
      <c r="N60" s="111"/>
      <c r="O60" s="110"/>
      <c r="P60" s="101">
        <f t="shared" si="46"/>
        <v>0</v>
      </c>
    </row>
    <row r="61" spans="1:16" x14ac:dyDescent="0.35">
      <c r="A61" s="172"/>
      <c r="B61" s="105">
        <v>46174</v>
      </c>
      <c r="C61" s="107">
        <v>193</v>
      </c>
      <c r="D61" s="95">
        <f>Tariffs!$C$15</f>
        <v>49.11</v>
      </c>
      <c r="E61" s="98">
        <f t="shared" si="42"/>
        <v>9478.23</v>
      </c>
      <c r="F61" s="109">
        <v>0</v>
      </c>
      <c r="G61" s="95">
        <f>Tariffs!$C$16</f>
        <v>49.88</v>
      </c>
      <c r="H61" s="96">
        <f t="shared" si="41"/>
        <v>0</v>
      </c>
      <c r="I61" s="97">
        <f t="shared" si="43"/>
        <v>193</v>
      </c>
      <c r="J61" s="95">
        <f>Tariffs!$C$21</f>
        <v>18.91</v>
      </c>
      <c r="K61" s="98">
        <f t="shared" si="44"/>
        <v>3649.63</v>
      </c>
      <c r="L61" s="98"/>
      <c r="M61" s="99">
        <f t="shared" si="45"/>
        <v>13127.86</v>
      </c>
      <c r="N61" s="111"/>
      <c r="O61" s="110"/>
      <c r="P61" s="101">
        <f t="shared" si="46"/>
        <v>13127.86</v>
      </c>
    </row>
    <row r="62" spans="1:16" x14ac:dyDescent="0.35">
      <c r="A62" s="172"/>
      <c r="B62" s="105">
        <v>46204</v>
      </c>
      <c r="C62" s="107">
        <v>197.61</v>
      </c>
      <c r="D62" s="108">
        <f>Tariffs!D15</f>
        <v>54.51</v>
      </c>
      <c r="E62" s="98">
        <f t="shared" si="42"/>
        <v>10771.721100000001</v>
      </c>
      <c r="F62" s="109">
        <v>0</v>
      </c>
      <c r="G62" s="108">
        <f>Tariffs!D16</f>
        <v>55.37</v>
      </c>
      <c r="H62" s="96">
        <f t="shared" si="41"/>
        <v>0</v>
      </c>
      <c r="I62" s="97">
        <f t="shared" si="43"/>
        <v>197.61</v>
      </c>
      <c r="J62" s="108">
        <f>Tariffs!D21</f>
        <v>22.07</v>
      </c>
      <c r="K62" s="98">
        <f t="shared" si="44"/>
        <v>4361.2527</v>
      </c>
      <c r="L62" s="98"/>
      <c r="M62" s="99">
        <f t="shared" si="45"/>
        <v>15132.9738</v>
      </c>
      <c r="N62" s="111"/>
      <c r="O62" s="110"/>
      <c r="P62" s="101">
        <f t="shared" si="46"/>
        <v>15132.9738</v>
      </c>
    </row>
    <row r="63" spans="1:16" x14ac:dyDescent="0.35">
      <c r="A63" s="172"/>
      <c r="B63" s="105">
        <v>46235</v>
      </c>
      <c r="C63" s="107"/>
      <c r="D63" s="108"/>
      <c r="E63" s="98">
        <f t="shared" si="42"/>
        <v>0</v>
      </c>
      <c r="F63" s="109"/>
      <c r="G63" s="108"/>
      <c r="H63" s="96">
        <f t="shared" si="41"/>
        <v>0</v>
      </c>
      <c r="I63" s="97">
        <f t="shared" si="43"/>
        <v>0</v>
      </c>
      <c r="J63" s="108"/>
      <c r="K63" s="98">
        <f t="shared" si="44"/>
        <v>0</v>
      </c>
      <c r="L63" s="98"/>
      <c r="M63" s="99">
        <f t="shared" si="45"/>
        <v>0</v>
      </c>
      <c r="N63" s="111"/>
      <c r="O63" s="110"/>
      <c r="P63" s="101">
        <f t="shared" si="46"/>
        <v>0</v>
      </c>
    </row>
    <row r="64" spans="1:16" x14ac:dyDescent="0.35">
      <c r="A64" s="172"/>
      <c r="B64" s="105">
        <v>46266</v>
      </c>
      <c r="C64" s="107"/>
      <c r="D64" s="108"/>
      <c r="E64" s="98">
        <f t="shared" si="42"/>
        <v>0</v>
      </c>
      <c r="F64" s="109"/>
      <c r="G64" s="108"/>
      <c r="H64" s="96">
        <f t="shared" si="41"/>
        <v>0</v>
      </c>
      <c r="I64" s="97">
        <f t="shared" si="43"/>
        <v>0</v>
      </c>
      <c r="J64" s="108"/>
      <c r="K64" s="98">
        <f t="shared" si="44"/>
        <v>0</v>
      </c>
      <c r="L64" s="98"/>
      <c r="M64" s="99">
        <f t="shared" si="45"/>
        <v>0</v>
      </c>
      <c r="N64" s="111"/>
      <c r="O64" s="110"/>
      <c r="P64" s="101">
        <f t="shared" si="46"/>
        <v>0</v>
      </c>
    </row>
    <row r="65" spans="1:17" x14ac:dyDescent="0.35">
      <c r="A65" s="172"/>
      <c r="B65" s="105">
        <v>46296</v>
      </c>
      <c r="C65" s="107"/>
      <c r="D65" s="108"/>
      <c r="E65" s="98">
        <f t="shared" si="42"/>
        <v>0</v>
      </c>
      <c r="F65" s="109"/>
      <c r="G65" s="108"/>
      <c r="H65" s="96">
        <f t="shared" si="41"/>
        <v>0</v>
      </c>
      <c r="I65" s="97">
        <f t="shared" si="43"/>
        <v>0</v>
      </c>
      <c r="J65" s="108"/>
      <c r="K65" s="98">
        <f t="shared" si="44"/>
        <v>0</v>
      </c>
      <c r="L65" s="98"/>
      <c r="M65" s="99">
        <f t="shared" si="45"/>
        <v>0</v>
      </c>
      <c r="N65" s="111"/>
      <c r="O65" s="110"/>
      <c r="P65" s="101">
        <f t="shared" si="46"/>
        <v>0</v>
      </c>
      <c r="Q65" s="13"/>
    </row>
    <row r="66" spans="1:17" x14ac:dyDescent="0.35">
      <c r="A66" s="172"/>
      <c r="B66" s="105">
        <v>46327</v>
      </c>
      <c r="C66" s="107"/>
      <c r="D66" s="108"/>
      <c r="E66" s="98">
        <f t="shared" si="42"/>
        <v>0</v>
      </c>
      <c r="F66" s="109"/>
      <c r="G66" s="108"/>
      <c r="H66" s="96">
        <f t="shared" si="41"/>
        <v>0</v>
      </c>
      <c r="I66" s="97">
        <f t="shared" si="43"/>
        <v>0</v>
      </c>
      <c r="J66" s="108"/>
      <c r="K66" s="98">
        <f t="shared" si="44"/>
        <v>0</v>
      </c>
      <c r="L66" s="98"/>
      <c r="M66" s="99">
        <f t="shared" si="45"/>
        <v>0</v>
      </c>
      <c r="N66" s="111"/>
      <c r="O66" s="110"/>
      <c r="P66" s="101">
        <f t="shared" si="46"/>
        <v>0</v>
      </c>
      <c r="Q66" s="13"/>
    </row>
    <row r="67" spans="1:17" ht="15" thickBot="1" x14ac:dyDescent="0.4">
      <c r="A67" s="172"/>
      <c r="B67" s="161">
        <v>46357</v>
      </c>
      <c r="C67" s="107"/>
      <c r="D67" s="108"/>
      <c r="E67" s="98">
        <f t="shared" si="42"/>
        <v>0</v>
      </c>
      <c r="F67" s="109"/>
      <c r="G67" s="108"/>
      <c r="H67" s="96">
        <f t="shared" si="41"/>
        <v>0</v>
      </c>
      <c r="I67" s="97">
        <f t="shared" si="43"/>
        <v>0</v>
      </c>
      <c r="J67" s="108"/>
      <c r="K67" s="98">
        <f t="shared" si="44"/>
        <v>0</v>
      </c>
      <c r="L67" s="98"/>
      <c r="M67" s="99">
        <f t="shared" si="45"/>
        <v>0</v>
      </c>
      <c r="N67" s="111"/>
      <c r="O67" s="110"/>
      <c r="P67" s="101">
        <f t="shared" si="46"/>
        <v>0</v>
      </c>
      <c r="Q67" s="13"/>
    </row>
    <row r="68" spans="1:17" ht="15" thickBot="1" x14ac:dyDescent="0.4">
      <c r="A68" s="173"/>
      <c r="B68" s="162" t="s">
        <v>98</v>
      </c>
      <c r="C68" s="77">
        <f>AVERAGE(C51:C67)</f>
        <v>195.30500000000001</v>
      </c>
      <c r="D68" s="112">
        <f t="shared" ref="D68:I68" si="47">AVERAGE(D59:D67)</f>
        <v>50.459999999999994</v>
      </c>
      <c r="E68" s="113">
        <f t="shared" si="47"/>
        <v>2249.9945666666663</v>
      </c>
      <c r="F68" s="113">
        <f t="shared" si="47"/>
        <v>0</v>
      </c>
      <c r="G68" s="114">
        <f t="shared" si="47"/>
        <v>51.252500000000005</v>
      </c>
      <c r="H68" s="113">
        <f t="shared" si="47"/>
        <v>0</v>
      </c>
      <c r="I68" s="113">
        <f t="shared" si="47"/>
        <v>43.401111111111113</v>
      </c>
      <c r="J68" s="82"/>
      <c r="K68" s="113">
        <f>AVERAGE(K59:K67)</f>
        <v>890.0980777777778</v>
      </c>
      <c r="L68" s="113"/>
      <c r="M68" s="113"/>
      <c r="N68" s="115" t="e">
        <f>AVERAGE(N59:N67)</f>
        <v>#DIV/0!</v>
      </c>
      <c r="O68" s="113"/>
      <c r="P68" s="116"/>
      <c r="Q68" s="13"/>
    </row>
    <row r="69" spans="1:17" x14ac:dyDescent="0.35">
      <c r="Q69" s="13"/>
    </row>
    <row r="70" spans="1:17" ht="15" thickBot="1" x14ac:dyDescent="0.4"/>
    <row r="71" spans="1:17" ht="15" thickBot="1" x14ac:dyDescent="0.4">
      <c r="A71" s="171" t="s">
        <v>128</v>
      </c>
      <c r="B71" s="174" t="s">
        <v>132</v>
      </c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6"/>
    </row>
    <row r="72" spans="1:17" ht="15" thickBot="1" x14ac:dyDescent="0.4">
      <c r="A72" s="172"/>
      <c r="B72" s="85" t="s">
        <v>76</v>
      </c>
      <c r="C72" s="86" t="s">
        <v>99</v>
      </c>
      <c r="D72" s="87" t="s">
        <v>100</v>
      </c>
      <c r="E72" s="88" t="s">
        <v>101</v>
      </c>
      <c r="F72" s="86" t="s">
        <v>102</v>
      </c>
      <c r="G72" s="87" t="s">
        <v>103</v>
      </c>
      <c r="H72" s="88" t="s">
        <v>104</v>
      </c>
      <c r="I72" s="86" t="s">
        <v>29</v>
      </c>
      <c r="J72" s="87" t="s">
        <v>105</v>
      </c>
      <c r="K72" s="88" t="s">
        <v>106</v>
      </c>
      <c r="L72" s="88" t="s">
        <v>107</v>
      </c>
      <c r="M72" s="89" t="s">
        <v>131</v>
      </c>
      <c r="N72" s="88" t="s">
        <v>108</v>
      </c>
      <c r="O72" s="88" t="s">
        <v>109</v>
      </c>
      <c r="P72" s="88" t="s">
        <v>91</v>
      </c>
    </row>
    <row r="73" spans="1:17" ht="15" thickBot="1" x14ac:dyDescent="0.4">
      <c r="A73" s="172"/>
      <c r="B73" s="90" t="s">
        <v>93</v>
      </c>
      <c r="C73" s="91" t="s">
        <v>110</v>
      </c>
      <c r="D73" s="92" t="s">
        <v>111</v>
      </c>
      <c r="E73" s="93" t="s">
        <v>96</v>
      </c>
      <c r="F73" s="91" t="s">
        <v>110</v>
      </c>
      <c r="G73" s="92" t="s">
        <v>111</v>
      </c>
      <c r="H73" s="93" t="s">
        <v>96</v>
      </c>
      <c r="I73" s="91" t="s">
        <v>110</v>
      </c>
      <c r="J73" s="92" t="s">
        <v>96</v>
      </c>
      <c r="K73" s="93" t="s">
        <v>112</v>
      </c>
      <c r="L73" s="93" t="s">
        <v>96</v>
      </c>
      <c r="M73" s="93" t="s">
        <v>112</v>
      </c>
      <c r="N73" s="93" t="s">
        <v>96</v>
      </c>
      <c r="O73" s="31" t="s">
        <v>96</v>
      </c>
      <c r="P73" s="54" t="s">
        <v>96</v>
      </c>
    </row>
    <row r="74" spans="1:17" x14ac:dyDescent="0.35">
      <c r="A74" s="172"/>
      <c r="B74" s="94">
        <v>45839</v>
      </c>
      <c r="C74" s="102"/>
      <c r="D74" s="95"/>
      <c r="E74" s="98">
        <f>C74*D74</f>
        <v>0</v>
      </c>
      <c r="F74" s="97"/>
      <c r="G74" s="95"/>
      <c r="H74" s="96">
        <f t="shared" ref="H74:H91" si="48">G74*F74</f>
        <v>0</v>
      </c>
      <c r="I74" s="97">
        <f>F74+C74</f>
        <v>0</v>
      </c>
      <c r="J74" s="95"/>
      <c r="K74" s="98">
        <f>J74*I74</f>
        <v>0</v>
      </c>
      <c r="L74" s="98">
        <f t="shared" ref="L74:L91" si="49">367.86*2</f>
        <v>735.72</v>
      </c>
      <c r="M74" s="99">
        <f>(E74+H74+K74+L74)</f>
        <v>735.72</v>
      </c>
      <c r="N74" s="100"/>
      <c r="O74" s="99"/>
      <c r="P74" s="101">
        <f>N74+M74+O74</f>
        <v>735.72</v>
      </c>
    </row>
    <row r="75" spans="1:17" x14ac:dyDescent="0.35">
      <c r="A75" s="172"/>
      <c r="B75" s="94">
        <v>45870</v>
      </c>
      <c r="C75" s="102"/>
      <c r="D75" s="95"/>
      <c r="E75" s="98">
        <f t="shared" ref="E75:E91" si="50">C75*D75</f>
        <v>0</v>
      </c>
      <c r="F75" s="103"/>
      <c r="G75" s="95"/>
      <c r="H75" s="96">
        <f t="shared" si="48"/>
        <v>0</v>
      </c>
      <c r="I75" s="97">
        <f t="shared" ref="I75:I91" si="51">F75+C75</f>
        <v>0</v>
      </c>
      <c r="J75" s="95"/>
      <c r="K75" s="98">
        <f t="shared" ref="K75:K91" si="52">J75*I75</f>
        <v>0</v>
      </c>
      <c r="L75" s="98">
        <f t="shared" si="49"/>
        <v>735.72</v>
      </c>
      <c r="M75" s="99">
        <f t="shared" ref="M75:M91" si="53">(E75+H75+K75+L75)</f>
        <v>735.72</v>
      </c>
      <c r="N75" s="104"/>
      <c r="O75" s="99"/>
      <c r="P75" s="101">
        <f t="shared" ref="P75:P91" si="54">N75+M75+O75</f>
        <v>735.72</v>
      </c>
    </row>
    <row r="76" spans="1:17" x14ac:dyDescent="0.35">
      <c r="A76" s="172"/>
      <c r="B76" s="105">
        <v>45901</v>
      </c>
      <c r="C76" s="102"/>
      <c r="D76" s="95"/>
      <c r="E76" s="98">
        <f t="shared" si="50"/>
        <v>0</v>
      </c>
      <c r="F76" s="103"/>
      <c r="G76" s="95"/>
      <c r="H76" s="96">
        <f t="shared" si="48"/>
        <v>0</v>
      </c>
      <c r="I76" s="97">
        <f t="shared" si="51"/>
        <v>0</v>
      </c>
      <c r="J76" s="95"/>
      <c r="K76" s="98">
        <f t="shared" si="52"/>
        <v>0</v>
      </c>
      <c r="L76" s="98">
        <f t="shared" si="49"/>
        <v>735.72</v>
      </c>
      <c r="M76" s="99">
        <f t="shared" si="53"/>
        <v>735.72</v>
      </c>
      <c r="N76" s="104"/>
      <c r="O76" s="99"/>
      <c r="P76" s="101">
        <f t="shared" si="54"/>
        <v>735.72</v>
      </c>
    </row>
    <row r="77" spans="1:17" x14ac:dyDescent="0.35">
      <c r="A77" s="172"/>
      <c r="B77" s="105">
        <v>45931</v>
      </c>
      <c r="C77" s="102"/>
      <c r="D77" s="95"/>
      <c r="E77" s="98">
        <f t="shared" si="50"/>
        <v>0</v>
      </c>
      <c r="F77" s="106"/>
      <c r="G77" s="95"/>
      <c r="H77" s="96">
        <f t="shared" si="48"/>
        <v>0</v>
      </c>
      <c r="I77" s="97">
        <f t="shared" si="51"/>
        <v>0</v>
      </c>
      <c r="J77" s="95"/>
      <c r="K77" s="98">
        <f t="shared" si="52"/>
        <v>0</v>
      </c>
      <c r="L77" s="98">
        <f t="shared" si="49"/>
        <v>735.72</v>
      </c>
      <c r="M77" s="99">
        <f t="shared" si="53"/>
        <v>735.72</v>
      </c>
      <c r="N77" s="104"/>
      <c r="O77" s="99"/>
      <c r="P77" s="101">
        <f t="shared" si="54"/>
        <v>735.72</v>
      </c>
    </row>
    <row r="78" spans="1:17" x14ac:dyDescent="0.35">
      <c r="A78" s="172"/>
      <c r="B78" s="105">
        <v>45962</v>
      </c>
      <c r="C78" s="102"/>
      <c r="D78" s="95"/>
      <c r="E78" s="98">
        <f t="shared" si="50"/>
        <v>0</v>
      </c>
      <c r="F78" s="103"/>
      <c r="G78" s="95"/>
      <c r="H78" s="96">
        <f t="shared" si="48"/>
        <v>0</v>
      </c>
      <c r="I78" s="97">
        <f t="shared" si="51"/>
        <v>0</v>
      </c>
      <c r="J78" s="95"/>
      <c r="K78" s="98">
        <f t="shared" si="52"/>
        <v>0</v>
      </c>
      <c r="L78" s="98">
        <f t="shared" si="49"/>
        <v>735.72</v>
      </c>
      <c r="M78" s="99">
        <f t="shared" si="53"/>
        <v>735.72</v>
      </c>
      <c r="N78" s="104"/>
      <c r="O78" s="99"/>
      <c r="P78" s="101">
        <f t="shared" si="54"/>
        <v>735.72</v>
      </c>
    </row>
    <row r="79" spans="1:17" x14ac:dyDescent="0.35">
      <c r="A79" s="172"/>
      <c r="B79" s="105">
        <v>45992</v>
      </c>
      <c r="C79" s="102"/>
      <c r="D79" s="95"/>
      <c r="E79" s="98">
        <f t="shared" si="50"/>
        <v>0</v>
      </c>
      <c r="F79" s="103"/>
      <c r="G79" s="95"/>
      <c r="H79" s="96">
        <f t="shared" si="48"/>
        <v>0</v>
      </c>
      <c r="I79" s="97">
        <f t="shared" si="51"/>
        <v>0</v>
      </c>
      <c r="J79" s="95"/>
      <c r="K79" s="98">
        <f t="shared" si="52"/>
        <v>0</v>
      </c>
      <c r="L79" s="98">
        <f t="shared" si="49"/>
        <v>735.72</v>
      </c>
      <c r="M79" s="99">
        <f t="shared" si="53"/>
        <v>735.72</v>
      </c>
      <c r="N79" s="104"/>
      <c r="O79" s="99"/>
      <c r="P79" s="101">
        <f t="shared" si="54"/>
        <v>735.72</v>
      </c>
    </row>
    <row r="80" spans="1:17" x14ac:dyDescent="0.35">
      <c r="A80" s="172"/>
      <c r="B80" s="105">
        <v>46023</v>
      </c>
      <c r="C80" s="102"/>
      <c r="D80" s="95"/>
      <c r="E80" s="98">
        <f t="shared" si="50"/>
        <v>0</v>
      </c>
      <c r="F80" s="103"/>
      <c r="G80" s="95"/>
      <c r="H80" s="96">
        <f t="shared" si="48"/>
        <v>0</v>
      </c>
      <c r="I80" s="97">
        <f t="shared" si="51"/>
        <v>0</v>
      </c>
      <c r="J80" s="95"/>
      <c r="K80" s="98">
        <f t="shared" si="52"/>
        <v>0</v>
      </c>
      <c r="L80" s="98">
        <f t="shared" si="49"/>
        <v>735.72</v>
      </c>
      <c r="M80" s="99">
        <f t="shared" si="53"/>
        <v>735.72</v>
      </c>
      <c r="N80" s="104"/>
      <c r="O80" s="99"/>
      <c r="P80" s="101">
        <f t="shared" si="54"/>
        <v>735.72</v>
      </c>
    </row>
    <row r="81" spans="1:16" x14ac:dyDescent="0.35">
      <c r="A81" s="172"/>
      <c r="B81" s="105">
        <v>46054</v>
      </c>
      <c r="C81" s="102"/>
      <c r="D81" s="95"/>
      <c r="E81" s="98">
        <f t="shared" si="50"/>
        <v>0</v>
      </c>
      <c r="F81" s="103"/>
      <c r="G81" s="95"/>
      <c r="H81" s="96">
        <f t="shared" si="48"/>
        <v>0</v>
      </c>
      <c r="I81" s="97">
        <f t="shared" si="51"/>
        <v>0</v>
      </c>
      <c r="J81" s="95"/>
      <c r="K81" s="98">
        <f t="shared" si="52"/>
        <v>0</v>
      </c>
      <c r="L81" s="98">
        <f t="shared" si="49"/>
        <v>735.72</v>
      </c>
      <c r="M81" s="99">
        <f t="shared" si="53"/>
        <v>735.72</v>
      </c>
      <c r="N81" s="104"/>
      <c r="O81" s="99"/>
      <c r="P81" s="101">
        <f t="shared" si="54"/>
        <v>735.72</v>
      </c>
    </row>
    <row r="82" spans="1:16" x14ac:dyDescent="0.35">
      <c r="A82" s="172"/>
      <c r="B82" s="105">
        <v>46082</v>
      </c>
      <c r="C82" s="102"/>
      <c r="D82" s="95"/>
      <c r="E82" s="98">
        <f t="shared" si="50"/>
        <v>0</v>
      </c>
      <c r="F82" s="103"/>
      <c r="G82" s="95"/>
      <c r="H82" s="96">
        <f t="shared" si="48"/>
        <v>0</v>
      </c>
      <c r="I82" s="97">
        <f t="shared" si="51"/>
        <v>0</v>
      </c>
      <c r="J82" s="95"/>
      <c r="K82" s="98">
        <f t="shared" si="52"/>
        <v>0</v>
      </c>
      <c r="L82" s="98">
        <f t="shared" si="49"/>
        <v>735.72</v>
      </c>
      <c r="M82" s="99">
        <f t="shared" si="53"/>
        <v>735.72</v>
      </c>
      <c r="N82" s="104"/>
      <c r="O82" s="99"/>
      <c r="P82" s="101">
        <f t="shared" si="54"/>
        <v>735.72</v>
      </c>
    </row>
    <row r="83" spans="1:16" x14ac:dyDescent="0.35">
      <c r="A83" s="172"/>
      <c r="B83" s="105">
        <v>46113</v>
      </c>
      <c r="C83" s="102"/>
      <c r="D83" s="95"/>
      <c r="E83" s="98">
        <f t="shared" si="50"/>
        <v>0</v>
      </c>
      <c r="F83" s="103"/>
      <c r="G83" s="95"/>
      <c r="H83" s="96">
        <f t="shared" si="48"/>
        <v>0</v>
      </c>
      <c r="I83" s="97">
        <f t="shared" si="51"/>
        <v>0</v>
      </c>
      <c r="J83" s="95"/>
      <c r="K83" s="98">
        <f t="shared" si="52"/>
        <v>0</v>
      </c>
      <c r="L83" s="98">
        <f t="shared" si="49"/>
        <v>735.72</v>
      </c>
      <c r="M83" s="99">
        <f t="shared" si="53"/>
        <v>735.72</v>
      </c>
      <c r="N83" s="104"/>
      <c r="O83" s="99"/>
      <c r="P83" s="101">
        <f t="shared" si="54"/>
        <v>735.72</v>
      </c>
    </row>
    <row r="84" spans="1:16" x14ac:dyDescent="0.35">
      <c r="A84" s="172"/>
      <c r="B84" s="105">
        <v>46143</v>
      </c>
      <c r="C84" s="107"/>
      <c r="D84" s="108"/>
      <c r="E84" s="98">
        <f t="shared" si="50"/>
        <v>0</v>
      </c>
      <c r="F84" s="109"/>
      <c r="G84" s="108"/>
      <c r="H84" s="96">
        <f t="shared" si="48"/>
        <v>0</v>
      </c>
      <c r="I84" s="97">
        <f t="shared" si="51"/>
        <v>0</v>
      </c>
      <c r="J84" s="108"/>
      <c r="K84" s="98">
        <f t="shared" si="52"/>
        <v>0</v>
      </c>
      <c r="L84" s="98">
        <f t="shared" si="49"/>
        <v>735.72</v>
      </c>
      <c r="M84" s="99">
        <f t="shared" si="53"/>
        <v>735.72</v>
      </c>
      <c r="N84" s="111"/>
      <c r="O84" s="110"/>
      <c r="P84" s="101">
        <f t="shared" si="54"/>
        <v>735.72</v>
      </c>
    </row>
    <row r="85" spans="1:16" x14ac:dyDescent="0.35">
      <c r="A85" s="172"/>
      <c r="B85" s="105">
        <v>46174</v>
      </c>
      <c r="C85" s="107"/>
      <c r="D85" s="108"/>
      <c r="E85" s="98">
        <f t="shared" si="50"/>
        <v>0</v>
      </c>
      <c r="F85" s="109"/>
      <c r="G85" s="108"/>
      <c r="H85" s="96">
        <f t="shared" si="48"/>
        <v>0</v>
      </c>
      <c r="I85" s="97">
        <f t="shared" si="51"/>
        <v>0</v>
      </c>
      <c r="J85" s="108"/>
      <c r="K85" s="98">
        <f t="shared" si="52"/>
        <v>0</v>
      </c>
      <c r="L85" s="98">
        <f t="shared" si="49"/>
        <v>735.72</v>
      </c>
      <c r="M85" s="99">
        <f t="shared" si="53"/>
        <v>735.72</v>
      </c>
      <c r="N85" s="111"/>
      <c r="O85" s="110"/>
      <c r="P85" s="101">
        <f t="shared" si="54"/>
        <v>735.72</v>
      </c>
    </row>
    <row r="86" spans="1:16" x14ac:dyDescent="0.35">
      <c r="A86" s="172"/>
      <c r="B86" s="105">
        <v>46204</v>
      </c>
      <c r="C86" s="107"/>
      <c r="D86" s="108"/>
      <c r="E86" s="98">
        <f t="shared" si="50"/>
        <v>0</v>
      </c>
      <c r="F86" s="109"/>
      <c r="G86" s="108"/>
      <c r="H86" s="96">
        <f t="shared" si="48"/>
        <v>0</v>
      </c>
      <c r="I86" s="97">
        <f t="shared" si="51"/>
        <v>0</v>
      </c>
      <c r="J86" s="108"/>
      <c r="K86" s="98">
        <f t="shared" si="52"/>
        <v>0</v>
      </c>
      <c r="L86" s="98">
        <f t="shared" si="49"/>
        <v>735.72</v>
      </c>
      <c r="M86" s="99">
        <f t="shared" si="53"/>
        <v>735.72</v>
      </c>
      <c r="N86" s="111"/>
      <c r="O86" s="110"/>
      <c r="P86" s="101">
        <f t="shared" si="54"/>
        <v>735.72</v>
      </c>
    </row>
    <row r="87" spans="1:16" x14ac:dyDescent="0.35">
      <c r="A87" s="172"/>
      <c r="B87" s="105">
        <v>46235</v>
      </c>
      <c r="C87" s="107"/>
      <c r="D87" s="108"/>
      <c r="E87" s="98">
        <f t="shared" si="50"/>
        <v>0</v>
      </c>
      <c r="F87" s="109"/>
      <c r="G87" s="108"/>
      <c r="H87" s="96">
        <f t="shared" si="48"/>
        <v>0</v>
      </c>
      <c r="I87" s="97">
        <f t="shared" si="51"/>
        <v>0</v>
      </c>
      <c r="J87" s="108"/>
      <c r="K87" s="98">
        <f t="shared" si="52"/>
        <v>0</v>
      </c>
      <c r="L87" s="98">
        <f t="shared" si="49"/>
        <v>735.72</v>
      </c>
      <c r="M87" s="99">
        <f t="shared" si="53"/>
        <v>735.72</v>
      </c>
      <c r="N87" s="111"/>
      <c r="O87" s="110"/>
      <c r="P87" s="101">
        <f t="shared" si="54"/>
        <v>735.72</v>
      </c>
    </row>
    <row r="88" spans="1:16" x14ac:dyDescent="0.35">
      <c r="A88" s="172"/>
      <c r="B88" s="105">
        <v>46266</v>
      </c>
      <c r="C88" s="107"/>
      <c r="D88" s="108"/>
      <c r="E88" s="98">
        <f t="shared" si="50"/>
        <v>0</v>
      </c>
      <c r="F88" s="109"/>
      <c r="G88" s="108"/>
      <c r="H88" s="96">
        <f t="shared" si="48"/>
        <v>0</v>
      </c>
      <c r="I88" s="97">
        <f t="shared" si="51"/>
        <v>0</v>
      </c>
      <c r="J88" s="108"/>
      <c r="K88" s="98">
        <f t="shared" si="52"/>
        <v>0</v>
      </c>
      <c r="L88" s="98">
        <f t="shared" si="49"/>
        <v>735.72</v>
      </c>
      <c r="M88" s="99">
        <f t="shared" si="53"/>
        <v>735.72</v>
      </c>
      <c r="N88" s="111"/>
      <c r="O88" s="110"/>
      <c r="P88" s="101">
        <f t="shared" si="54"/>
        <v>735.72</v>
      </c>
    </row>
    <row r="89" spans="1:16" x14ac:dyDescent="0.35">
      <c r="A89" s="172"/>
      <c r="B89" s="105">
        <v>46296</v>
      </c>
      <c r="C89" s="107"/>
      <c r="D89" s="108"/>
      <c r="E89" s="98">
        <f t="shared" si="50"/>
        <v>0</v>
      </c>
      <c r="F89" s="109"/>
      <c r="G89" s="108"/>
      <c r="H89" s="96">
        <f t="shared" si="48"/>
        <v>0</v>
      </c>
      <c r="I89" s="97">
        <f t="shared" si="51"/>
        <v>0</v>
      </c>
      <c r="J89" s="108"/>
      <c r="K89" s="98">
        <f t="shared" si="52"/>
        <v>0</v>
      </c>
      <c r="L89" s="98">
        <f t="shared" si="49"/>
        <v>735.72</v>
      </c>
      <c r="M89" s="99">
        <f t="shared" si="53"/>
        <v>735.72</v>
      </c>
      <c r="N89" s="111"/>
      <c r="O89" s="110"/>
      <c r="P89" s="101">
        <f t="shared" si="54"/>
        <v>735.72</v>
      </c>
    </row>
    <row r="90" spans="1:16" x14ac:dyDescent="0.35">
      <c r="A90" s="172"/>
      <c r="B90" s="105">
        <v>46327</v>
      </c>
      <c r="C90" s="107"/>
      <c r="D90" s="108"/>
      <c r="E90" s="98">
        <f t="shared" si="50"/>
        <v>0</v>
      </c>
      <c r="F90" s="109"/>
      <c r="G90" s="108"/>
      <c r="H90" s="96">
        <f t="shared" si="48"/>
        <v>0</v>
      </c>
      <c r="I90" s="97">
        <f t="shared" si="51"/>
        <v>0</v>
      </c>
      <c r="J90" s="108"/>
      <c r="K90" s="98">
        <f t="shared" si="52"/>
        <v>0</v>
      </c>
      <c r="L90" s="98">
        <f t="shared" si="49"/>
        <v>735.72</v>
      </c>
      <c r="M90" s="99">
        <f t="shared" si="53"/>
        <v>735.72</v>
      </c>
      <c r="N90" s="111"/>
      <c r="O90" s="110"/>
      <c r="P90" s="101">
        <f t="shared" si="54"/>
        <v>735.72</v>
      </c>
    </row>
    <row r="91" spans="1:16" ht="15" thickBot="1" x14ac:dyDescent="0.4">
      <c r="A91" s="172"/>
      <c r="B91" s="161">
        <v>46357</v>
      </c>
      <c r="C91" s="107"/>
      <c r="D91" s="108"/>
      <c r="E91" s="98">
        <f t="shared" si="50"/>
        <v>0</v>
      </c>
      <c r="F91" s="109"/>
      <c r="G91" s="108"/>
      <c r="H91" s="96">
        <f t="shared" si="48"/>
        <v>0</v>
      </c>
      <c r="I91" s="97">
        <f t="shared" si="51"/>
        <v>0</v>
      </c>
      <c r="J91" s="108"/>
      <c r="K91" s="98">
        <f t="shared" si="52"/>
        <v>0</v>
      </c>
      <c r="L91" s="98">
        <f t="shared" si="49"/>
        <v>735.72</v>
      </c>
      <c r="M91" s="99">
        <f t="shared" si="53"/>
        <v>735.72</v>
      </c>
      <c r="N91" s="111"/>
      <c r="O91" s="110"/>
      <c r="P91" s="101">
        <f t="shared" si="54"/>
        <v>735.72</v>
      </c>
    </row>
    <row r="92" spans="1:16" ht="15" thickBot="1" x14ac:dyDescent="0.4">
      <c r="A92" s="173"/>
      <c r="B92" s="162" t="s">
        <v>98</v>
      </c>
      <c r="C92" s="77" t="e">
        <f>AVERAGE(C75:C91)</f>
        <v>#DIV/0!</v>
      </c>
      <c r="D92" s="112" t="e">
        <f t="shared" ref="D92:I92" si="55">AVERAGE(D83:D91)</f>
        <v>#DIV/0!</v>
      </c>
      <c r="E92" s="113">
        <f t="shared" si="55"/>
        <v>0</v>
      </c>
      <c r="F92" s="113" t="e">
        <f t="shared" si="55"/>
        <v>#DIV/0!</v>
      </c>
      <c r="G92" s="114" t="e">
        <f t="shared" si="55"/>
        <v>#DIV/0!</v>
      </c>
      <c r="H92" s="113">
        <f t="shared" si="55"/>
        <v>0</v>
      </c>
      <c r="I92" s="113">
        <f t="shared" si="55"/>
        <v>0</v>
      </c>
      <c r="J92" s="82"/>
      <c r="K92" s="113">
        <f>AVERAGE(K83:K91)</f>
        <v>0</v>
      </c>
      <c r="L92" s="113"/>
      <c r="M92" s="113"/>
      <c r="N92" s="115" t="e">
        <f>AVERAGE(N83:N91)</f>
        <v>#DIV/0!</v>
      </c>
      <c r="O92" s="113"/>
      <c r="P92" s="116"/>
    </row>
    <row r="94" spans="1:16" ht="15" thickBot="1" x14ac:dyDescent="0.4"/>
    <row r="95" spans="1:16" ht="15" thickBot="1" x14ac:dyDescent="0.4">
      <c r="A95" s="117" t="s">
        <v>113</v>
      </c>
      <c r="B95" s="118" t="s">
        <v>114</v>
      </c>
      <c r="C95" s="119" t="s">
        <v>115</v>
      </c>
      <c r="D95" s="118" t="s">
        <v>116</v>
      </c>
      <c r="E95" s="119" t="s">
        <v>117</v>
      </c>
      <c r="F95" s="118" t="s">
        <v>118</v>
      </c>
      <c r="G95" s="119" t="s">
        <v>119</v>
      </c>
    </row>
    <row r="96" spans="1:16" x14ac:dyDescent="0.35">
      <c r="A96" s="94">
        <v>45809</v>
      </c>
      <c r="B96" s="120" t="e">
        <f>#REF!</f>
        <v>#REF!</v>
      </c>
      <c r="C96" s="121" t="e">
        <f>#REF!</f>
        <v>#REF!</v>
      </c>
      <c r="D96" s="120" t="e">
        <f>#REF!</f>
        <v>#REF!</v>
      </c>
      <c r="E96" s="121" t="e">
        <f>#REF!</f>
        <v>#REF!</v>
      </c>
      <c r="F96" s="120" t="e">
        <f>#REF!</f>
        <v>#REF!</v>
      </c>
      <c r="G96" s="121" t="e">
        <f>#REF!</f>
        <v>#REF!</v>
      </c>
    </row>
    <row r="97" spans="1:7" x14ac:dyDescent="0.35">
      <c r="A97" s="105">
        <v>45839</v>
      </c>
      <c r="B97" s="122">
        <f t="shared" ref="B97:B106" si="56">C4</f>
        <v>0</v>
      </c>
      <c r="C97" s="123" t="e">
        <f>#REF!</f>
        <v>#REF!</v>
      </c>
      <c r="D97" s="122">
        <f t="shared" ref="D97:D106" si="57">L4</f>
        <v>0</v>
      </c>
      <c r="E97" s="123" t="e">
        <f>#REF!</f>
        <v>#REF!</v>
      </c>
      <c r="F97" s="122">
        <f t="shared" ref="F97:F106" si="58">G4</f>
        <v>0</v>
      </c>
      <c r="G97" s="123" t="e">
        <f>#REF!</f>
        <v>#REF!</v>
      </c>
    </row>
    <row r="98" spans="1:7" x14ac:dyDescent="0.35">
      <c r="A98" s="105">
        <v>45870</v>
      </c>
      <c r="B98" s="122">
        <f t="shared" si="56"/>
        <v>0</v>
      </c>
      <c r="C98" s="123" t="e">
        <f>#REF!</f>
        <v>#REF!</v>
      </c>
      <c r="D98" s="122">
        <f t="shared" si="57"/>
        <v>0</v>
      </c>
      <c r="E98" s="123" t="e">
        <f>#REF!</f>
        <v>#REF!</v>
      </c>
      <c r="F98" s="122">
        <f t="shared" si="58"/>
        <v>0</v>
      </c>
      <c r="G98" s="123" t="e">
        <f>#REF!</f>
        <v>#REF!</v>
      </c>
    </row>
    <row r="99" spans="1:7" x14ac:dyDescent="0.35">
      <c r="A99" s="105">
        <v>45901</v>
      </c>
      <c r="B99" s="122">
        <f t="shared" si="56"/>
        <v>0</v>
      </c>
      <c r="C99" s="123" t="e">
        <f>#REF!</f>
        <v>#REF!</v>
      </c>
      <c r="D99" s="122">
        <f t="shared" si="57"/>
        <v>0</v>
      </c>
      <c r="E99" s="123" t="e">
        <f>#REF!</f>
        <v>#REF!</v>
      </c>
      <c r="F99" s="122">
        <f t="shared" si="58"/>
        <v>0</v>
      </c>
      <c r="G99" s="123" t="e">
        <f>#REF!</f>
        <v>#REF!</v>
      </c>
    </row>
    <row r="100" spans="1:7" x14ac:dyDescent="0.35">
      <c r="A100" s="105">
        <v>45931</v>
      </c>
      <c r="B100" s="122">
        <f t="shared" si="56"/>
        <v>0</v>
      </c>
      <c r="C100" s="123" t="e">
        <f>#REF!</f>
        <v>#REF!</v>
      </c>
      <c r="D100" s="122">
        <f t="shared" si="57"/>
        <v>0</v>
      </c>
      <c r="E100" s="123" t="e">
        <f>#REF!</f>
        <v>#REF!</v>
      </c>
      <c r="F100" s="122">
        <f t="shared" si="58"/>
        <v>0</v>
      </c>
      <c r="G100" s="123" t="e">
        <f>#REF!</f>
        <v>#REF!</v>
      </c>
    </row>
    <row r="101" spans="1:7" x14ac:dyDescent="0.35">
      <c r="A101" s="105">
        <v>45962</v>
      </c>
      <c r="B101" s="122">
        <f t="shared" si="56"/>
        <v>0</v>
      </c>
      <c r="C101" s="123" t="e">
        <f>#REF!</f>
        <v>#REF!</v>
      </c>
      <c r="D101" s="122">
        <f t="shared" si="57"/>
        <v>0</v>
      </c>
      <c r="E101" s="123" t="e">
        <f>#REF!</f>
        <v>#REF!</v>
      </c>
      <c r="F101" s="122">
        <f t="shared" si="58"/>
        <v>0</v>
      </c>
      <c r="G101" s="123" t="e">
        <f>#REF!</f>
        <v>#REF!</v>
      </c>
    </row>
    <row r="102" spans="1:7" x14ac:dyDescent="0.35">
      <c r="A102" s="105">
        <v>45992</v>
      </c>
      <c r="B102" s="122">
        <f t="shared" si="56"/>
        <v>0</v>
      </c>
      <c r="C102" s="123" t="e">
        <f>#REF!</f>
        <v>#REF!</v>
      </c>
      <c r="D102" s="122">
        <f t="shared" si="57"/>
        <v>0</v>
      </c>
      <c r="E102" s="123" t="e">
        <f>#REF!</f>
        <v>#REF!</v>
      </c>
      <c r="F102" s="122">
        <f t="shared" si="58"/>
        <v>0</v>
      </c>
      <c r="G102" s="123" t="e">
        <f>#REF!</f>
        <v>#REF!</v>
      </c>
    </row>
    <row r="103" spans="1:7" x14ac:dyDescent="0.35">
      <c r="A103" s="105">
        <v>46023</v>
      </c>
      <c r="B103" s="122">
        <f t="shared" si="56"/>
        <v>0</v>
      </c>
      <c r="C103" s="123" t="e">
        <f>#REF!</f>
        <v>#REF!</v>
      </c>
      <c r="D103" s="122">
        <f t="shared" si="57"/>
        <v>0</v>
      </c>
      <c r="E103" s="123" t="e">
        <f>#REF!</f>
        <v>#REF!</v>
      </c>
      <c r="F103" s="122">
        <f t="shared" si="58"/>
        <v>0</v>
      </c>
      <c r="G103" s="123" t="e">
        <f>#REF!</f>
        <v>#REF!</v>
      </c>
    </row>
    <row r="104" spans="1:7" x14ac:dyDescent="0.35">
      <c r="A104" s="105">
        <v>46054</v>
      </c>
      <c r="B104" s="122">
        <f t="shared" si="56"/>
        <v>0</v>
      </c>
      <c r="C104" s="123" t="e">
        <f>#REF!</f>
        <v>#REF!</v>
      </c>
      <c r="D104" s="122">
        <f t="shared" si="57"/>
        <v>0</v>
      </c>
      <c r="E104" s="123" t="e">
        <f>#REF!</f>
        <v>#REF!</v>
      </c>
      <c r="F104" s="122">
        <f t="shared" si="58"/>
        <v>0</v>
      </c>
      <c r="G104" s="123" t="e">
        <f>#REF!</f>
        <v>#REF!</v>
      </c>
    </row>
    <row r="105" spans="1:7" x14ac:dyDescent="0.35">
      <c r="A105" s="105">
        <v>46082</v>
      </c>
      <c r="B105" s="122">
        <f t="shared" si="56"/>
        <v>0</v>
      </c>
      <c r="C105" s="123" t="e">
        <f>#REF!</f>
        <v>#REF!</v>
      </c>
      <c r="D105" s="122">
        <f t="shared" si="57"/>
        <v>0</v>
      </c>
      <c r="E105" s="123" t="e">
        <f>#REF!</f>
        <v>#REF!</v>
      </c>
      <c r="F105" s="122">
        <f t="shared" si="58"/>
        <v>0</v>
      </c>
      <c r="G105" s="123" t="e">
        <f>#REF!</f>
        <v>#REF!</v>
      </c>
    </row>
    <row r="106" spans="1:7" x14ac:dyDescent="0.35">
      <c r="A106" s="105">
        <v>46113</v>
      </c>
      <c r="B106" s="122">
        <f t="shared" si="56"/>
        <v>0</v>
      </c>
      <c r="C106" s="123" t="e">
        <f>#REF!</f>
        <v>#REF!</v>
      </c>
      <c r="D106" s="122">
        <f t="shared" si="57"/>
        <v>0</v>
      </c>
      <c r="E106" s="123" t="e">
        <f>#REF!</f>
        <v>#REF!</v>
      </c>
      <c r="F106" s="122">
        <f t="shared" si="58"/>
        <v>0</v>
      </c>
      <c r="G106" s="123" t="e">
        <f>#REF!</f>
        <v>#REF!</v>
      </c>
    </row>
    <row r="107" spans="1:7" ht="15" thickBot="1" x14ac:dyDescent="0.4">
      <c r="A107" s="124">
        <v>46143</v>
      </c>
      <c r="B107" s="125" t="e">
        <f>#REF!</f>
        <v>#REF!</v>
      </c>
      <c r="C107" s="126" t="e">
        <f>#REF!</f>
        <v>#REF!</v>
      </c>
      <c r="D107" s="125" t="e">
        <f>#REF!</f>
        <v>#REF!</v>
      </c>
      <c r="E107" s="126" t="e">
        <f>#REF!</f>
        <v>#REF!</v>
      </c>
      <c r="F107" s="125" t="e">
        <f>#REF!</f>
        <v>#REF!</v>
      </c>
      <c r="G107" s="126" t="e">
        <f>#REF!</f>
        <v>#REF!</v>
      </c>
    </row>
    <row r="108" spans="1:7" ht="15" thickBot="1" x14ac:dyDescent="0.4">
      <c r="A108" s="127" t="s">
        <v>22</v>
      </c>
      <c r="B108" s="128" t="e">
        <f>SUM(B96:B106)</f>
        <v>#REF!</v>
      </c>
      <c r="C108" s="129" t="e">
        <f t="shared" ref="C108:G108" si="59">SUM(C96:C106)</f>
        <v>#REF!</v>
      </c>
      <c r="D108" s="128" t="e">
        <f t="shared" si="59"/>
        <v>#REF!</v>
      </c>
      <c r="E108" s="129" t="e">
        <f t="shared" si="59"/>
        <v>#REF!</v>
      </c>
      <c r="F108" s="128" t="e">
        <f t="shared" si="59"/>
        <v>#REF!</v>
      </c>
      <c r="G108" s="129" t="e">
        <f t="shared" si="59"/>
        <v>#REF!</v>
      </c>
    </row>
    <row r="109" spans="1:7" ht="15" thickBot="1" x14ac:dyDescent="0.4">
      <c r="A109" s="127" t="s">
        <v>120</v>
      </c>
      <c r="B109" s="130"/>
      <c r="C109" s="131" t="e">
        <f>C108-B108</f>
        <v>#REF!</v>
      </c>
      <c r="D109" s="130"/>
      <c r="E109" s="132" t="e">
        <f>E108-D108</f>
        <v>#REF!</v>
      </c>
      <c r="F109" s="130"/>
      <c r="G109" s="132" t="e">
        <f>G108-F108</f>
        <v>#REF!</v>
      </c>
    </row>
  </sheetData>
  <mergeCells count="8">
    <mergeCell ref="B1:AB1"/>
    <mergeCell ref="A24:A45"/>
    <mergeCell ref="B24:AB24"/>
    <mergeCell ref="B71:P71"/>
    <mergeCell ref="A47:A68"/>
    <mergeCell ref="B47:P47"/>
    <mergeCell ref="A71:A92"/>
    <mergeCell ref="A1:A2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b9d7bd-61d5-43b6-862e-d4d323b6dde9" xsi:nil="true"/>
    <lcf76f155ced4ddcb4097134ff3c332f xmlns="ca590210-d988-4100-9545-8969d7e9883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287B980A1F14BB38E59691A104A4C" ma:contentTypeVersion="16" ma:contentTypeDescription="Create a new document." ma:contentTypeScope="" ma:versionID="cdc37da42bc1371069c19a646c90094e">
  <xsd:schema xmlns:xsd="http://www.w3.org/2001/XMLSchema" xmlns:xs="http://www.w3.org/2001/XMLSchema" xmlns:p="http://schemas.microsoft.com/office/2006/metadata/properties" xmlns:ns2="ca590210-d988-4100-9545-8969d7e98834" xmlns:ns3="eab9d7bd-61d5-43b6-862e-d4d323b6dde9" targetNamespace="http://schemas.microsoft.com/office/2006/metadata/properties" ma:root="true" ma:fieldsID="49e4e6380c6232f3d1bfe0ee4a65d3ca" ns2:_="" ns3:_="">
    <xsd:import namespace="ca590210-d988-4100-9545-8969d7e98834"/>
    <xsd:import namespace="eab9d7bd-61d5-43b6-862e-d4d323b6dd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590210-d988-4100-9545-8969d7e98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009076-9063-4b52-bbd9-b3dc7ad828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9d7bd-61d5-43b6-862e-d4d323b6dd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3314ab-0157-434c-9b73-2c6116928667}" ma:internalName="TaxCatchAll" ma:showField="CatchAllData" ma:web="eab9d7bd-61d5-43b6-862e-d4d323b6d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63827C-AA4C-475A-8425-30CC1DAC1CC7}">
  <ds:schemaRefs>
    <ds:schemaRef ds:uri="http://schemas.microsoft.com/office/2006/metadata/properties"/>
    <ds:schemaRef ds:uri="http://schemas.microsoft.com/office/infopath/2007/PartnerControls"/>
    <ds:schemaRef ds:uri="eab9d7bd-61d5-43b6-862e-d4d323b6dde9"/>
    <ds:schemaRef ds:uri="ca590210-d988-4100-9545-8969d7e98834"/>
  </ds:schemaRefs>
</ds:datastoreItem>
</file>

<file path=customXml/itemProps2.xml><?xml version="1.0" encoding="utf-8"?>
<ds:datastoreItem xmlns:ds="http://schemas.openxmlformats.org/officeDocument/2006/customXml" ds:itemID="{7BDFB4B0-E784-42B9-864D-ABB3223DB9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7F97B4-79D2-43C9-9CCA-DA54C23446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590210-d988-4100-9545-8969d7e98834"/>
    <ds:schemaRef ds:uri="eab9d7bd-61d5-43b6-862e-d4d323b6dd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Billing - 8 Field Street</vt:lpstr>
      <vt:lpstr>Raw Billing</vt:lpstr>
      <vt:lpstr>Tariffs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Marnus Steyn</dc:creator>
  <cp:lastModifiedBy>Marnus Steyn</cp:lastModifiedBy>
  <dcterms:created xsi:type="dcterms:W3CDTF">2025-07-02T04:42:21Z</dcterms:created>
  <dcterms:modified xsi:type="dcterms:W3CDTF">2026-08-05T17:03:25Z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0x010100DE8287B980A1F14BB38E59691A104A4C</vt:lpwstr>
  </property>
  <property fmtid="{D5CDD505-2E9C-101B-9397-08002B2CF9AE}" pid="3" name="MediaServiceImageTags">
    <vt:lpwstr/>
  </property>
</Properties>
</file>